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Preisgeld-Split" sheetId="3" state="visible" r:id="rId3"/>
    <sheet xmlns:r="http://schemas.openxmlformats.org/officeDocument/2006/relationships" name="Budget &amp; Cashflow" sheetId="4" state="visible" r:id="rId4"/>
    <sheet xmlns:r="http://schemas.openxmlformats.org/officeDocument/2006/relationships" name="Gründungskosten" sheetId="5" state="visible" r:id="rId5"/>
    <sheet xmlns:r="http://schemas.openxmlformats.org/officeDocument/2006/relationships" name="Sponsoren" sheetId="6" state="visible" r:id="rId6"/>
    <sheet xmlns:r="http://schemas.openxmlformats.org/officeDocument/2006/relationships" name="Investoren" sheetId="7" state="visible" r:id="rId7"/>
    <sheet xmlns:r="http://schemas.openxmlformats.org/officeDocument/2006/relationships" name="Verträge" sheetId="8" state="visible" r:id="rId8"/>
    <sheet xmlns:r="http://schemas.openxmlformats.org/officeDocument/2006/relationships" name="Turniere &amp; Preisgeld" sheetId="9" state="visible" r:id="rId9"/>
    <sheet xmlns:r="http://schemas.openxmlformats.org/officeDocument/2006/relationships" name="Equipment" sheetId="10" state="visible" r:id="rId10"/>
    <sheet xmlns:r="http://schemas.openxmlformats.org/officeDocument/2006/relationships" name="Tryouts" sheetId="11" state="visible" r:id="rId11"/>
    <sheet xmlns:r="http://schemas.openxmlformats.org/officeDocument/2006/relationships" name="Content-Kalender" sheetId="12" state="visible" r:id="rId12"/>
    <sheet xmlns:r="http://schemas.openxmlformats.org/officeDocument/2006/relationships" name="Reisekoste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#,##0.00 &quot;€&quot;"/>
    <numFmt numFmtId="166" formatCode="0.0%"/>
  </numFmts>
  <fonts count="8">
    <font>
      <name val="Calibri"/>
      <family val="2"/>
      <color theme="1"/>
      <sz val="11"/>
      <scheme val="minor"/>
    </font>
    <font>
      <b val="1"/>
      <color rgb="000A0B0E"/>
      <sz val="16"/>
    </font>
    <font>
      <i val="1"/>
      <color rgb="008E96A3"/>
      <sz val="9"/>
    </font>
    <font>
      <name val="Calibri"/>
      <b val="1"/>
      <color rgb="00E4EAF2"/>
      <sz val="10"/>
    </font>
    <font>
      <b val="1"/>
    </font>
    <font>
      <b val="1"/>
      <color rgb="00E4EAF2"/>
      <sz val="20"/>
    </font>
    <font>
      <color rgb="008E96A3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0A0B0E"/>
      </patternFill>
    </fill>
    <fill>
      <patternFill patternType="solid">
        <fgColor rgb="00F3F5F8"/>
      </patternFill>
    </fill>
    <fill>
      <patternFill patternType="solid">
        <fgColor rgb="00FFFBE0"/>
      </patternFill>
    </fill>
  </fills>
  <borders count="3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  <border>
      <bottom style="thin">
        <color rgb="00D5D9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2" borderId="0" applyAlignment="1" pivotButton="0" quotePrefix="0" xfId="0">
      <alignment vertical="center" indent="1"/>
    </xf>
    <xf numFmtId="0" fontId="6" fillId="0" borderId="2" pivotButton="0" quotePrefix="0" xfId="0"/>
    <xf numFmtId="1" fontId="7" fillId="0" borderId="2" applyAlignment="1" pivotButton="0" quotePrefix="0" xfId="0">
      <alignment horizontal="right"/>
    </xf>
    <xf numFmtId="165" fontId="7" fillId="0" borderId="2" applyAlignment="1" pivotButton="0" quotePrefix="0" xfId="0">
      <alignment horizontal="right"/>
    </xf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165" fontId="0" fillId="3" borderId="1" pivotButton="0" quotePrefix="0" xfId="0"/>
    <xf numFmtId="0" fontId="4" fillId="0" borderId="0" pivotButton="0" quotePrefix="0" xfId="0"/>
    <xf numFmtId="165" fontId="4" fillId="0" borderId="0" pivotButton="0" quotePrefix="0" xfId="0"/>
    <xf numFmtId="165" fontId="0" fillId="4" borderId="0" pivotButton="0" quotePrefix="0" xfId="0"/>
    <xf numFmtId="166" fontId="0" fillId="4" borderId="0" pivotButton="0" quotePrefix="0" xfId="0"/>
    <xf numFmtId="166" fontId="0" fillId="3" borderId="0" pivotButton="0" quotePrefix="0" xfId="0"/>
    <xf numFmtId="165" fontId="0" fillId="3" borderId="0" pivotButton="0" quotePrefix="0" xfId="0"/>
    <xf numFmtId="166" fontId="0" fillId="3" borderId="1" pivotButton="0" quotePrefix="0" xfId="0"/>
    <xf numFmtId="165" fontId="0" fillId="0" borderId="1" pivotButton="0" quotePrefix="0" xfId="0"/>
    <xf numFmtId="165" fontId="4" fillId="3" borderId="1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bgColor rgb="00F8B4B4"/>
        </patternFill>
      </fill>
    </dxf>
    <dxf>
      <fill>
        <patternFill patternType="solid">
          <bgColor rgb="00FDE68A"/>
        </patternFill>
      </fill>
    </dxf>
    <dxf>
      <fill>
        <patternFill patternType="solid">
          <bgColor rgb="00BBF7D0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0B0E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4" customWidth="1" min="4" max="4"/>
    <col width="34" customWidth="1" min="5" max="5"/>
    <col width="22" customWidth="1" min="6" max="6"/>
  </cols>
  <sheetData>
    <row r="1" ht="42" customHeight="1">
      <c r="A1" s="1" t="inlineStr">
        <is>
          <t>VALIOUX · MANAGEMENT-DASHBOARD</t>
        </is>
      </c>
    </row>
    <row r="4">
      <c r="B4" s="2" t="inlineStr">
        <is>
          <t>Spieler &amp; Staff im Roster</t>
        </is>
      </c>
      <c r="C4" s="3">
        <f>COUNTA(Roster!B5:B44)</f>
        <v/>
      </c>
      <c r="E4" s="2" t="inlineStr">
        <is>
          <t>Sponsoring zugesagt</t>
        </is>
      </c>
      <c r="F4" s="4">
        <f>Sponsoren!E47</f>
        <v/>
      </c>
    </row>
    <row r="5">
      <c r="B5" s="2" t="inlineStr">
        <is>
          <t>Gehaltskosten / Monat</t>
        </is>
      </c>
      <c r="C5" s="4">
        <f>Roster!J46</f>
        <v/>
      </c>
      <c r="E5" s="2" t="inlineStr">
        <is>
          <t>Sponsoren-Pipeline (gewichtet)</t>
        </is>
      </c>
      <c r="F5" s="4">
        <f>Sponsoren!G46</f>
        <v/>
      </c>
    </row>
    <row r="6">
      <c r="B6" s="2" t="inlineStr">
        <is>
          <t>Personalkosten / Jahr</t>
        </is>
      </c>
      <c r="C6" s="4">
        <f>Roster!M46</f>
        <v/>
      </c>
      <c r="E6" s="2" t="inlineStr">
        <is>
          <t>Investorengelder eingezahlt</t>
        </is>
      </c>
      <c r="F6" s="4">
        <f>Investoren!E26</f>
        <v/>
      </c>
    </row>
    <row r="7">
      <c r="B7" s="2" t="inlineStr">
        <is>
          <t>Verträge laufen aus (&lt; 90 Tage)</t>
        </is>
      </c>
      <c r="C7" s="3">
        <f>COUNTIF(Roster!O5:O44,"läuft aus")</f>
        <v/>
      </c>
      <c r="E7" s="2" t="inlineStr">
        <is>
          <t>Preisgelder Org-Anteil</t>
        </is>
      </c>
      <c r="F7" s="4">
        <f>'Turniere &amp; Preisgeld'!G66</f>
        <v/>
      </c>
    </row>
    <row r="8">
      <c r="B8" s="2" t="inlineStr">
        <is>
          <t>Abgelaufene Verträge</t>
        </is>
      </c>
      <c r="C8" s="3">
        <f>COUNTIF(Roster!O5:O44,"abgelaufen")</f>
        <v/>
      </c>
      <c r="E8" s="2" t="inlineStr">
        <is>
          <t>Jahresergebnis (Budget)</t>
        </is>
      </c>
      <c r="F8" s="4">
        <f>'Budget &amp; Cashflow'!N27</f>
        <v/>
      </c>
    </row>
    <row r="13">
      <c r="B13" s="5" t="inlineStr">
        <is>
          <t>Tabs: Roster · Preisgeld-Split · Budget &amp; Cashflow · Gründungskosten · Sponsoren · Investoren · Verträge · Turniere · Equipment · Tryouts · Content-Kalender · Reisekosten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E96A3"/>
    <outlinePr summaryBelow="1" summaryRight="1"/>
    <pageSetUpPr/>
  </sheetPr>
  <dimension ref="A1:R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4" customWidth="1" min="4" max="4"/>
    <col width="12" customWidth="1" min="5" max="5"/>
    <col width="8" customWidth="1" min="6" max="6"/>
    <col width="7" customWidth="1" min="7" max="7"/>
    <col width="13" customWidth="1" min="8" max="8"/>
    <col width="13" customWidth="1" min="9" max="9"/>
    <col width="14" customWidth="1" min="10" max="10"/>
    <col width="13" customWidth="1" min="11" max="11"/>
    <col width="11" customWidth="1" min="12" max="12"/>
    <col width="15" customWidth="1" min="13" max="13"/>
    <col width="12" customWidth="1" min="14" max="14"/>
    <col width="13" customWidth="1" min="15" max="15"/>
    <col width="14" customWidth="1" min="16" max="16"/>
    <col width="13" customWidth="1" min="17" max="17"/>
    <col width="18" customWidth="1" min="18" max="18"/>
  </cols>
  <sheetData>
    <row r="1">
      <c r="A1" s="6" t="inlineStr">
        <is>
          <t>VALIOUX · Roster &amp; Gehälter</t>
        </is>
      </c>
    </row>
    <row r="2">
      <c r="A2" s="5" t="inlineStr">
        <is>
          <t>Gelb = Eingabe · Grau = Formel (nicht überschreiben)</t>
        </is>
      </c>
    </row>
    <row r="4" ht="32" customHeight="1">
      <c r="A4" s="7" t="inlineStr">
        <is>
          <t>#</t>
        </is>
      </c>
      <c r="B4" s="7" t="inlineStr">
        <is>
          <t>Handle</t>
        </is>
      </c>
      <c r="C4" s="7" t="inlineStr">
        <is>
          <t>Name</t>
        </is>
      </c>
      <c r="D4" s="7" t="inlineStr">
        <is>
          <t>Rolle</t>
        </is>
      </c>
      <c r="E4" s="7" t="inlineStr">
        <is>
          <t>Team</t>
        </is>
      </c>
      <c r="F4" s="7" t="inlineStr">
        <is>
          <t>Land</t>
        </is>
      </c>
      <c r="G4" s="7" t="inlineStr">
        <is>
          <t>Alter</t>
        </is>
      </c>
      <c r="H4" s="7" t="inlineStr">
        <is>
          <t>Vertrag ab</t>
        </is>
      </c>
      <c r="I4" s="7" t="inlineStr">
        <is>
          <t>Vertrag bis</t>
        </is>
      </c>
      <c r="J4" s="7" t="inlineStr">
        <is>
          <t>Grundgehalt / Monat</t>
        </is>
      </c>
      <c r="K4" s="7" t="inlineStr">
        <is>
          <t>Bonus / Jahr</t>
        </is>
      </c>
      <c r="L4" s="7" t="inlineStr">
        <is>
          <t>Preisgeld-Anteil</t>
        </is>
      </c>
      <c r="M4" s="7" t="inlineStr">
        <is>
          <t>Kosten / Jahr</t>
        </is>
      </c>
      <c r="N4" s="7" t="inlineStr">
        <is>
          <t>Tage bis Ablauf</t>
        </is>
      </c>
      <c r="O4" s="7" t="inlineStr">
        <is>
          <t>Status</t>
        </is>
      </c>
      <c r="P4" s="7" t="inlineStr">
        <is>
          <t>Kündigungsfrist</t>
        </is>
      </c>
      <c r="Q4" s="7" t="inlineStr">
        <is>
          <t>Buyout €</t>
        </is>
      </c>
      <c r="R4" s="7" t="inlineStr">
        <is>
          <t>Discord / X</t>
        </is>
      </c>
    </row>
    <row r="5">
      <c r="A5" s="8">
        <f>IF(B5="","",ROW()-4)</f>
        <v/>
      </c>
      <c r="B5" s="9" t="inlineStr">
        <is>
          <t>BeispielPro1</t>
        </is>
      </c>
      <c r="C5" s="9" t="inlineStr">
        <is>
          <t>Max Mustermann</t>
        </is>
      </c>
      <c r="D5" s="9" t="inlineStr">
        <is>
          <t>Fragger</t>
        </is>
      </c>
      <c r="E5" s="9" t="inlineStr">
        <is>
          <t>Pro</t>
        </is>
      </c>
      <c r="F5" s="9" t="inlineStr">
        <is>
          <t>DE</t>
        </is>
      </c>
      <c r="G5" s="9" t="n">
        <v>19</v>
      </c>
      <c r="H5" s="10" t="n">
        <v>46023</v>
      </c>
      <c r="I5" s="10" t="n">
        <v>46387</v>
      </c>
      <c r="J5" s="11" t="n">
        <v>2500</v>
      </c>
      <c r="K5" s="11" t="n">
        <v>3000</v>
      </c>
      <c r="L5" s="12" t="n">
        <v>0.25</v>
      </c>
      <c r="M5" s="13">
        <f>IF(B5="","",J5*12+K5)</f>
        <v/>
      </c>
      <c r="N5" s="8">
        <f>IF(I5="","",I5-TODAY())</f>
        <v/>
      </c>
      <c r="O5" s="8">
        <f>IF(I5="","",IF(N5&lt;0,"abgelaufen",IF(N5&lt;90,"läuft aus","aktiv")))</f>
        <v/>
      </c>
      <c r="P5" s="9" t="inlineStr">
        <is>
          <t>3 Monate</t>
        </is>
      </c>
      <c r="Q5" s="11" t="n">
        <v>15000</v>
      </c>
      <c r="R5" s="9" t="inlineStr">
        <is>
          <t>@bsp1</t>
        </is>
      </c>
    </row>
    <row r="6">
      <c r="A6" s="8">
        <f>IF(B6="","",ROW()-4)</f>
        <v/>
      </c>
      <c r="B6" s="9" t="inlineStr">
        <is>
          <t>BeispielPro2</t>
        </is>
      </c>
      <c r="C6" s="9" t="inlineStr">
        <is>
          <t>Erika Beispiel</t>
        </is>
      </c>
      <c r="D6" s="9" t="inlineStr">
        <is>
          <t>IGL</t>
        </is>
      </c>
      <c r="E6" s="9" t="inlineStr">
        <is>
          <t>Pro</t>
        </is>
      </c>
      <c r="F6" s="9" t="inlineStr">
        <is>
          <t>DE</t>
        </is>
      </c>
      <c r="G6" s="9" t="n">
        <v>21</v>
      </c>
      <c r="H6" s="10" t="n">
        <v>46023</v>
      </c>
      <c r="I6" s="10" t="n">
        <v>46568</v>
      </c>
      <c r="J6" s="11" t="n">
        <v>3000</v>
      </c>
      <c r="K6" s="11" t="n">
        <v>5000</v>
      </c>
      <c r="L6" s="12" t="n">
        <v>0.3</v>
      </c>
      <c r="M6" s="13">
        <f>IF(B6="","",J6*12+K6)</f>
        <v/>
      </c>
      <c r="N6" s="8">
        <f>IF(I6="","",I6-TODAY())</f>
        <v/>
      </c>
      <c r="O6" s="8">
        <f>IF(I6="","",IF(N6&lt;0,"abgelaufen",IF(N6&lt;90,"läuft aus","aktiv")))</f>
        <v/>
      </c>
      <c r="P6" s="9" t="inlineStr">
        <is>
          <t>3 Monate</t>
        </is>
      </c>
      <c r="Q6" s="11" t="n">
        <v>25000</v>
      </c>
      <c r="R6" s="9" t="inlineStr">
        <is>
          <t>@bsp2</t>
        </is>
      </c>
    </row>
    <row r="7">
      <c r="A7" s="8">
        <f>IF(B7="","",ROW()-4)</f>
        <v/>
      </c>
      <c r="B7" s="9" t="inlineStr">
        <is>
          <t>BeispielAcad</t>
        </is>
      </c>
      <c r="C7" s="9" t="inlineStr">
        <is>
          <t>Tim Talent</t>
        </is>
      </c>
      <c r="D7" s="9" t="inlineStr">
        <is>
          <t>Talent</t>
        </is>
      </c>
      <c r="E7" s="9" t="inlineStr">
        <is>
          <t>Academy</t>
        </is>
      </c>
      <c r="F7" s="9" t="inlineStr">
        <is>
          <t>DE</t>
        </is>
      </c>
      <c r="G7" s="9" t="n">
        <v>16</v>
      </c>
      <c r="H7" s="10" t="n">
        <v>46174</v>
      </c>
      <c r="I7" s="10" t="n">
        <v>46387</v>
      </c>
      <c r="J7" s="11" t="n">
        <v>400</v>
      </c>
      <c r="K7" s="11" t="n">
        <v>0</v>
      </c>
      <c r="L7" s="12" t="n">
        <v>0.1</v>
      </c>
      <c r="M7" s="13">
        <f>IF(B7="","",J7*12+K7)</f>
        <v/>
      </c>
      <c r="N7" s="8">
        <f>IF(I7="","",I7-TODAY())</f>
        <v/>
      </c>
      <c r="O7" s="8">
        <f>IF(I7="","",IF(N7&lt;0,"abgelaufen",IF(N7&lt;90,"läuft aus","aktiv")))</f>
        <v/>
      </c>
      <c r="P7" s="9" t="inlineStr">
        <is>
          <t>1 Monat</t>
        </is>
      </c>
      <c r="Q7" s="11" t="n">
        <v>0</v>
      </c>
      <c r="R7" s="9" t="inlineStr">
        <is>
          <t>@bsp3</t>
        </is>
      </c>
    </row>
    <row r="8">
      <c r="A8" s="8">
        <f>IF(B8="","",ROW()-4)</f>
        <v/>
      </c>
      <c r="B8" s="9" t="n"/>
      <c r="C8" s="9" t="n"/>
      <c r="D8" s="9" t="n"/>
      <c r="E8" s="9" t="n"/>
      <c r="F8" s="9" t="n"/>
      <c r="G8" s="9" t="n"/>
      <c r="H8" s="10" t="n"/>
      <c r="I8" s="10" t="n"/>
      <c r="J8" s="11" t="n"/>
      <c r="K8" s="11" t="n"/>
      <c r="L8" s="12" t="n"/>
      <c r="M8" s="13">
        <f>IF(B8="","",J8*12+K8)</f>
        <v/>
      </c>
      <c r="N8" s="8">
        <f>IF(I8="","",I8-TODAY())</f>
        <v/>
      </c>
      <c r="O8" s="8">
        <f>IF(I8="","",IF(N8&lt;0,"abgelaufen",IF(N8&lt;90,"läuft aus","aktiv")))</f>
        <v/>
      </c>
      <c r="P8" s="9" t="n"/>
      <c r="Q8" s="11" t="n"/>
      <c r="R8" s="9" t="n"/>
    </row>
    <row r="9">
      <c r="A9" s="8">
        <f>IF(B9="","",ROW()-4)</f>
        <v/>
      </c>
      <c r="B9" s="9" t="n"/>
      <c r="C9" s="9" t="n"/>
      <c r="D9" s="9" t="n"/>
      <c r="E9" s="9" t="n"/>
      <c r="F9" s="9" t="n"/>
      <c r="G9" s="9" t="n"/>
      <c r="H9" s="10" t="n"/>
      <c r="I9" s="10" t="n"/>
      <c r="J9" s="11" t="n"/>
      <c r="K9" s="11" t="n"/>
      <c r="L9" s="12" t="n"/>
      <c r="M9" s="13">
        <f>IF(B9="","",J9*12+K9)</f>
        <v/>
      </c>
      <c r="N9" s="8">
        <f>IF(I9="","",I9-TODAY())</f>
        <v/>
      </c>
      <c r="O9" s="8">
        <f>IF(I9="","",IF(N9&lt;0,"abgelaufen",IF(N9&lt;90,"läuft aus","aktiv")))</f>
        <v/>
      </c>
      <c r="P9" s="9" t="n"/>
      <c r="Q9" s="11" t="n"/>
      <c r="R9" s="9" t="n"/>
    </row>
    <row r="10">
      <c r="A10" s="8">
        <f>IF(B10="","",ROW()-4)</f>
        <v/>
      </c>
      <c r="B10" s="9" t="n"/>
      <c r="C10" s="9" t="n"/>
      <c r="D10" s="9" t="n"/>
      <c r="E10" s="9" t="n"/>
      <c r="F10" s="9" t="n"/>
      <c r="G10" s="9" t="n"/>
      <c r="H10" s="10" t="n"/>
      <c r="I10" s="10" t="n"/>
      <c r="J10" s="11" t="n"/>
      <c r="K10" s="11" t="n"/>
      <c r="L10" s="12" t="n"/>
      <c r="M10" s="13">
        <f>IF(B10="","",J10*12+K10)</f>
        <v/>
      </c>
      <c r="N10" s="8">
        <f>IF(I10="","",I10-TODAY())</f>
        <v/>
      </c>
      <c r="O10" s="8">
        <f>IF(I10="","",IF(N10&lt;0,"abgelaufen",IF(N10&lt;90,"läuft aus","aktiv")))</f>
        <v/>
      </c>
      <c r="P10" s="9" t="n"/>
      <c r="Q10" s="11" t="n"/>
      <c r="R10" s="9" t="n"/>
    </row>
    <row r="11">
      <c r="A11" s="8">
        <f>IF(B11="","",ROW()-4)</f>
        <v/>
      </c>
      <c r="B11" s="9" t="n"/>
      <c r="C11" s="9" t="n"/>
      <c r="D11" s="9" t="n"/>
      <c r="E11" s="9" t="n"/>
      <c r="F11" s="9" t="n"/>
      <c r="G11" s="9" t="n"/>
      <c r="H11" s="10" t="n"/>
      <c r="I11" s="10" t="n"/>
      <c r="J11" s="11" t="n"/>
      <c r="K11" s="11" t="n"/>
      <c r="L11" s="12" t="n"/>
      <c r="M11" s="13">
        <f>IF(B11="","",J11*12+K11)</f>
        <v/>
      </c>
      <c r="N11" s="8">
        <f>IF(I11="","",I11-TODAY())</f>
        <v/>
      </c>
      <c r="O11" s="8">
        <f>IF(I11="","",IF(N11&lt;0,"abgelaufen",IF(N11&lt;90,"läuft aus","aktiv")))</f>
        <v/>
      </c>
      <c r="P11" s="9" t="n"/>
      <c r="Q11" s="11" t="n"/>
      <c r="R11" s="9" t="n"/>
    </row>
    <row r="12">
      <c r="A12" s="8">
        <f>IF(B12="","",ROW()-4)</f>
        <v/>
      </c>
      <c r="B12" s="9" t="n"/>
      <c r="C12" s="9" t="n"/>
      <c r="D12" s="9" t="n"/>
      <c r="E12" s="9" t="n"/>
      <c r="F12" s="9" t="n"/>
      <c r="G12" s="9" t="n"/>
      <c r="H12" s="10" t="n"/>
      <c r="I12" s="10" t="n"/>
      <c r="J12" s="11" t="n"/>
      <c r="K12" s="11" t="n"/>
      <c r="L12" s="12" t="n"/>
      <c r="M12" s="13">
        <f>IF(B12="","",J12*12+K12)</f>
        <v/>
      </c>
      <c r="N12" s="8">
        <f>IF(I12="","",I12-TODAY())</f>
        <v/>
      </c>
      <c r="O12" s="8">
        <f>IF(I12="","",IF(N12&lt;0,"abgelaufen",IF(N12&lt;90,"läuft aus","aktiv")))</f>
        <v/>
      </c>
      <c r="P12" s="9" t="n"/>
      <c r="Q12" s="11" t="n"/>
      <c r="R12" s="9" t="n"/>
    </row>
    <row r="13">
      <c r="A13" s="8">
        <f>IF(B13="","",ROW()-4)</f>
        <v/>
      </c>
      <c r="B13" s="9" t="n"/>
      <c r="C13" s="9" t="n"/>
      <c r="D13" s="9" t="n"/>
      <c r="E13" s="9" t="n"/>
      <c r="F13" s="9" t="n"/>
      <c r="G13" s="9" t="n"/>
      <c r="H13" s="10" t="n"/>
      <c r="I13" s="10" t="n"/>
      <c r="J13" s="11" t="n"/>
      <c r="K13" s="11" t="n"/>
      <c r="L13" s="12" t="n"/>
      <c r="M13" s="13">
        <f>IF(B13="","",J13*12+K13)</f>
        <v/>
      </c>
      <c r="N13" s="8">
        <f>IF(I13="","",I13-TODAY())</f>
        <v/>
      </c>
      <c r="O13" s="8">
        <f>IF(I13="","",IF(N13&lt;0,"abgelaufen",IF(N13&lt;90,"läuft aus","aktiv")))</f>
        <v/>
      </c>
      <c r="P13" s="9" t="n"/>
      <c r="Q13" s="11" t="n"/>
      <c r="R13" s="9" t="n"/>
    </row>
    <row r="14">
      <c r="A14" s="8">
        <f>IF(B14="","",ROW()-4)</f>
        <v/>
      </c>
      <c r="B14" s="9" t="n"/>
      <c r="C14" s="9" t="n"/>
      <c r="D14" s="9" t="n"/>
      <c r="E14" s="9" t="n"/>
      <c r="F14" s="9" t="n"/>
      <c r="G14" s="9" t="n"/>
      <c r="H14" s="10" t="n"/>
      <c r="I14" s="10" t="n"/>
      <c r="J14" s="11" t="n"/>
      <c r="K14" s="11" t="n"/>
      <c r="L14" s="12" t="n"/>
      <c r="M14" s="13">
        <f>IF(B14="","",J14*12+K14)</f>
        <v/>
      </c>
      <c r="N14" s="8">
        <f>IF(I14="","",I14-TODAY())</f>
        <v/>
      </c>
      <c r="O14" s="8">
        <f>IF(I14="","",IF(N14&lt;0,"abgelaufen",IF(N14&lt;90,"läuft aus","aktiv")))</f>
        <v/>
      </c>
      <c r="P14" s="9" t="n"/>
      <c r="Q14" s="11" t="n"/>
      <c r="R14" s="9" t="n"/>
    </row>
    <row r="15">
      <c r="A15" s="8">
        <f>IF(B15="","",ROW()-4)</f>
        <v/>
      </c>
      <c r="B15" s="9" t="n"/>
      <c r="C15" s="9" t="n"/>
      <c r="D15" s="9" t="n"/>
      <c r="E15" s="9" t="n"/>
      <c r="F15" s="9" t="n"/>
      <c r="G15" s="9" t="n"/>
      <c r="H15" s="10" t="n"/>
      <c r="I15" s="10" t="n"/>
      <c r="J15" s="11" t="n"/>
      <c r="K15" s="11" t="n"/>
      <c r="L15" s="12" t="n"/>
      <c r="M15" s="13">
        <f>IF(B15="","",J15*12+K15)</f>
        <v/>
      </c>
      <c r="N15" s="8">
        <f>IF(I15="","",I15-TODAY())</f>
        <v/>
      </c>
      <c r="O15" s="8">
        <f>IF(I15="","",IF(N15&lt;0,"abgelaufen",IF(N15&lt;90,"läuft aus","aktiv")))</f>
        <v/>
      </c>
      <c r="P15" s="9" t="n"/>
      <c r="Q15" s="11" t="n"/>
      <c r="R15" s="9" t="n"/>
    </row>
    <row r="16">
      <c r="A16" s="8">
        <f>IF(B16="","",ROW()-4)</f>
        <v/>
      </c>
      <c r="B16" s="9" t="n"/>
      <c r="C16" s="9" t="n"/>
      <c r="D16" s="9" t="n"/>
      <c r="E16" s="9" t="n"/>
      <c r="F16" s="9" t="n"/>
      <c r="G16" s="9" t="n"/>
      <c r="H16" s="10" t="n"/>
      <c r="I16" s="10" t="n"/>
      <c r="J16" s="11" t="n"/>
      <c r="K16" s="11" t="n"/>
      <c r="L16" s="12" t="n"/>
      <c r="M16" s="13">
        <f>IF(B16="","",J16*12+K16)</f>
        <v/>
      </c>
      <c r="N16" s="8">
        <f>IF(I16="","",I16-TODAY())</f>
        <v/>
      </c>
      <c r="O16" s="8">
        <f>IF(I16="","",IF(N16&lt;0,"abgelaufen",IF(N16&lt;90,"läuft aus","aktiv")))</f>
        <v/>
      </c>
      <c r="P16" s="9" t="n"/>
      <c r="Q16" s="11" t="n"/>
      <c r="R16" s="9" t="n"/>
    </row>
    <row r="17">
      <c r="A17" s="8">
        <f>IF(B17="","",ROW()-4)</f>
        <v/>
      </c>
      <c r="B17" s="9" t="n"/>
      <c r="C17" s="9" t="n"/>
      <c r="D17" s="9" t="n"/>
      <c r="E17" s="9" t="n"/>
      <c r="F17" s="9" t="n"/>
      <c r="G17" s="9" t="n"/>
      <c r="H17" s="10" t="n"/>
      <c r="I17" s="10" t="n"/>
      <c r="J17" s="11" t="n"/>
      <c r="K17" s="11" t="n"/>
      <c r="L17" s="12" t="n"/>
      <c r="M17" s="13">
        <f>IF(B17="","",J17*12+K17)</f>
        <v/>
      </c>
      <c r="N17" s="8">
        <f>IF(I17="","",I17-TODAY())</f>
        <v/>
      </c>
      <c r="O17" s="8">
        <f>IF(I17="","",IF(N17&lt;0,"abgelaufen",IF(N17&lt;90,"läuft aus","aktiv")))</f>
        <v/>
      </c>
      <c r="P17" s="9" t="n"/>
      <c r="Q17" s="11" t="n"/>
      <c r="R17" s="9" t="n"/>
    </row>
    <row r="18">
      <c r="A18" s="8">
        <f>IF(B18="","",ROW()-4)</f>
        <v/>
      </c>
      <c r="B18" s="9" t="n"/>
      <c r="C18" s="9" t="n"/>
      <c r="D18" s="9" t="n"/>
      <c r="E18" s="9" t="n"/>
      <c r="F18" s="9" t="n"/>
      <c r="G18" s="9" t="n"/>
      <c r="H18" s="10" t="n"/>
      <c r="I18" s="10" t="n"/>
      <c r="J18" s="11" t="n"/>
      <c r="K18" s="11" t="n"/>
      <c r="L18" s="12" t="n"/>
      <c r="M18" s="13">
        <f>IF(B18="","",J18*12+K18)</f>
        <v/>
      </c>
      <c r="N18" s="8">
        <f>IF(I18="","",I18-TODAY())</f>
        <v/>
      </c>
      <c r="O18" s="8">
        <f>IF(I18="","",IF(N18&lt;0,"abgelaufen",IF(N18&lt;90,"läuft aus","aktiv")))</f>
        <v/>
      </c>
      <c r="P18" s="9" t="n"/>
      <c r="Q18" s="11" t="n"/>
      <c r="R18" s="9" t="n"/>
    </row>
    <row r="19">
      <c r="A19" s="8">
        <f>IF(B19="","",ROW()-4)</f>
        <v/>
      </c>
      <c r="B19" s="9" t="n"/>
      <c r="C19" s="9" t="n"/>
      <c r="D19" s="9" t="n"/>
      <c r="E19" s="9" t="n"/>
      <c r="F19" s="9" t="n"/>
      <c r="G19" s="9" t="n"/>
      <c r="H19" s="10" t="n"/>
      <c r="I19" s="10" t="n"/>
      <c r="J19" s="11" t="n"/>
      <c r="K19" s="11" t="n"/>
      <c r="L19" s="12" t="n"/>
      <c r="M19" s="13">
        <f>IF(B19="","",J19*12+K19)</f>
        <v/>
      </c>
      <c r="N19" s="8">
        <f>IF(I19="","",I19-TODAY())</f>
        <v/>
      </c>
      <c r="O19" s="8">
        <f>IF(I19="","",IF(N19&lt;0,"abgelaufen",IF(N19&lt;90,"läuft aus","aktiv")))</f>
        <v/>
      </c>
      <c r="P19" s="9" t="n"/>
      <c r="Q19" s="11" t="n"/>
      <c r="R19" s="9" t="n"/>
    </row>
    <row r="20">
      <c r="A20" s="8">
        <f>IF(B20="","",ROW()-4)</f>
        <v/>
      </c>
      <c r="B20" s="9" t="n"/>
      <c r="C20" s="9" t="n"/>
      <c r="D20" s="9" t="n"/>
      <c r="E20" s="9" t="n"/>
      <c r="F20" s="9" t="n"/>
      <c r="G20" s="9" t="n"/>
      <c r="H20" s="10" t="n"/>
      <c r="I20" s="10" t="n"/>
      <c r="J20" s="11" t="n"/>
      <c r="K20" s="11" t="n"/>
      <c r="L20" s="12" t="n"/>
      <c r="M20" s="13">
        <f>IF(B20="","",J20*12+K20)</f>
        <v/>
      </c>
      <c r="N20" s="8">
        <f>IF(I20="","",I20-TODAY())</f>
        <v/>
      </c>
      <c r="O20" s="8">
        <f>IF(I20="","",IF(N20&lt;0,"abgelaufen",IF(N20&lt;90,"läuft aus","aktiv")))</f>
        <v/>
      </c>
      <c r="P20" s="9" t="n"/>
      <c r="Q20" s="11" t="n"/>
      <c r="R20" s="9" t="n"/>
    </row>
    <row r="21">
      <c r="A21" s="8">
        <f>IF(B21="","",ROW()-4)</f>
        <v/>
      </c>
      <c r="B21" s="9" t="n"/>
      <c r="C21" s="9" t="n"/>
      <c r="D21" s="9" t="n"/>
      <c r="E21" s="9" t="n"/>
      <c r="F21" s="9" t="n"/>
      <c r="G21" s="9" t="n"/>
      <c r="H21" s="10" t="n"/>
      <c r="I21" s="10" t="n"/>
      <c r="J21" s="11" t="n"/>
      <c r="K21" s="11" t="n"/>
      <c r="L21" s="12" t="n"/>
      <c r="M21" s="13">
        <f>IF(B21="","",J21*12+K21)</f>
        <v/>
      </c>
      <c r="N21" s="8">
        <f>IF(I21="","",I21-TODAY())</f>
        <v/>
      </c>
      <c r="O21" s="8">
        <f>IF(I21="","",IF(N21&lt;0,"abgelaufen",IF(N21&lt;90,"läuft aus","aktiv")))</f>
        <v/>
      </c>
      <c r="P21" s="9" t="n"/>
      <c r="Q21" s="11" t="n"/>
      <c r="R21" s="9" t="n"/>
    </row>
    <row r="22">
      <c r="A22" s="8">
        <f>IF(B22="","",ROW()-4)</f>
        <v/>
      </c>
      <c r="B22" s="9" t="n"/>
      <c r="C22" s="9" t="n"/>
      <c r="D22" s="9" t="n"/>
      <c r="E22" s="9" t="n"/>
      <c r="F22" s="9" t="n"/>
      <c r="G22" s="9" t="n"/>
      <c r="H22" s="10" t="n"/>
      <c r="I22" s="10" t="n"/>
      <c r="J22" s="11" t="n"/>
      <c r="K22" s="11" t="n"/>
      <c r="L22" s="12" t="n"/>
      <c r="M22" s="13">
        <f>IF(B22="","",J22*12+K22)</f>
        <v/>
      </c>
      <c r="N22" s="8">
        <f>IF(I22="","",I22-TODAY())</f>
        <v/>
      </c>
      <c r="O22" s="8">
        <f>IF(I22="","",IF(N22&lt;0,"abgelaufen",IF(N22&lt;90,"läuft aus","aktiv")))</f>
        <v/>
      </c>
      <c r="P22" s="9" t="n"/>
      <c r="Q22" s="11" t="n"/>
      <c r="R22" s="9" t="n"/>
    </row>
    <row r="23">
      <c r="A23" s="8">
        <f>IF(B23="","",ROW()-4)</f>
        <v/>
      </c>
      <c r="B23" s="9" t="n"/>
      <c r="C23" s="9" t="n"/>
      <c r="D23" s="9" t="n"/>
      <c r="E23" s="9" t="n"/>
      <c r="F23" s="9" t="n"/>
      <c r="G23" s="9" t="n"/>
      <c r="H23" s="10" t="n"/>
      <c r="I23" s="10" t="n"/>
      <c r="J23" s="11" t="n"/>
      <c r="K23" s="11" t="n"/>
      <c r="L23" s="12" t="n"/>
      <c r="M23" s="13">
        <f>IF(B23="","",J23*12+K23)</f>
        <v/>
      </c>
      <c r="N23" s="8">
        <f>IF(I23="","",I23-TODAY())</f>
        <v/>
      </c>
      <c r="O23" s="8">
        <f>IF(I23="","",IF(N23&lt;0,"abgelaufen",IF(N23&lt;90,"läuft aus","aktiv")))</f>
        <v/>
      </c>
      <c r="P23" s="9" t="n"/>
      <c r="Q23" s="11" t="n"/>
      <c r="R23" s="9" t="n"/>
    </row>
    <row r="24">
      <c r="A24" s="8">
        <f>IF(B24="","",ROW()-4)</f>
        <v/>
      </c>
      <c r="B24" s="9" t="n"/>
      <c r="C24" s="9" t="n"/>
      <c r="D24" s="9" t="n"/>
      <c r="E24" s="9" t="n"/>
      <c r="F24" s="9" t="n"/>
      <c r="G24" s="9" t="n"/>
      <c r="H24" s="10" t="n"/>
      <c r="I24" s="10" t="n"/>
      <c r="J24" s="11" t="n"/>
      <c r="K24" s="11" t="n"/>
      <c r="L24" s="12" t="n"/>
      <c r="M24" s="13">
        <f>IF(B24="","",J24*12+K24)</f>
        <v/>
      </c>
      <c r="N24" s="8">
        <f>IF(I24="","",I24-TODAY())</f>
        <v/>
      </c>
      <c r="O24" s="8">
        <f>IF(I24="","",IF(N24&lt;0,"abgelaufen",IF(N24&lt;90,"läuft aus","aktiv")))</f>
        <v/>
      </c>
      <c r="P24" s="9" t="n"/>
      <c r="Q24" s="11" t="n"/>
      <c r="R24" s="9" t="n"/>
    </row>
    <row r="25">
      <c r="A25" s="8">
        <f>IF(B25="","",ROW()-4)</f>
        <v/>
      </c>
      <c r="B25" s="9" t="n"/>
      <c r="C25" s="9" t="n"/>
      <c r="D25" s="9" t="n"/>
      <c r="E25" s="9" t="n"/>
      <c r="F25" s="9" t="n"/>
      <c r="G25" s="9" t="n"/>
      <c r="H25" s="10" t="n"/>
      <c r="I25" s="10" t="n"/>
      <c r="J25" s="11" t="n"/>
      <c r="K25" s="11" t="n"/>
      <c r="L25" s="12" t="n"/>
      <c r="M25" s="13">
        <f>IF(B25="","",J25*12+K25)</f>
        <v/>
      </c>
      <c r="N25" s="8">
        <f>IF(I25="","",I25-TODAY())</f>
        <v/>
      </c>
      <c r="O25" s="8">
        <f>IF(I25="","",IF(N25&lt;0,"abgelaufen",IF(N25&lt;90,"läuft aus","aktiv")))</f>
        <v/>
      </c>
      <c r="P25" s="9" t="n"/>
      <c r="Q25" s="11" t="n"/>
      <c r="R25" s="9" t="n"/>
    </row>
    <row r="26">
      <c r="A26" s="8">
        <f>IF(B26="","",ROW()-4)</f>
        <v/>
      </c>
      <c r="B26" s="9" t="n"/>
      <c r="C26" s="9" t="n"/>
      <c r="D26" s="9" t="n"/>
      <c r="E26" s="9" t="n"/>
      <c r="F26" s="9" t="n"/>
      <c r="G26" s="9" t="n"/>
      <c r="H26" s="10" t="n"/>
      <c r="I26" s="10" t="n"/>
      <c r="J26" s="11" t="n"/>
      <c r="K26" s="11" t="n"/>
      <c r="L26" s="12" t="n"/>
      <c r="M26" s="13">
        <f>IF(B26="","",J26*12+K26)</f>
        <v/>
      </c>
      <c r="N26" s="8">
        <f>IF(I26="","",I26-TODAY())</f>
        <v/>
      </c>
      <c r="O26" s="8">
        <f>IF(I26="","",IF(N26&lt;0,"abgelaufen",IF(N26&lt;90,"läuft aus","aktiv")))</f>
        <v/>
      </c>
      <c r="P26" s="9" t="n"/>
      <c r="Q26" s="11" t="n"/>
      <c r="R26" s="9" t="n"/>
    </row>
    <row r="27">
      <c r="A27" s="8">
        <f>IF(B27="","",ROW()-4)</f>
        <v/>
      </c>
      <c r="B27" s="9" t="n"/>
      <c r="C27" s="9" t="n"/>
      <c r="D27" s="9" t="n"/>
      <c r="E27" s="9" t="n"/>
      <c r="F27" s="9" t="n"/>
      <c r="G27" s="9" t="n"/>
      <c r="H27" s="10" t="n"/>
      <c r="I27" s="10" t="n"/>
      <c r="J27" s="11" t="n"/>
      <c r="K27" s="11" t="n"/>
      <c r="L27" s="12" t="n"/>
      <c r="M27" s="13">
        <f>IF(B27="","",J27*12+K27)</f>
        <v/>
      </c>
      <c r="N27" s="8">
        <f>IF(I27="","",I27-TODAY())</f>
        <v/>
      </c>
      <c r="O27" s="8">
        <f>IF(I27="","",IF(N27&lt;0,"abgelaufen",IF(N27&lt;90,"läuft aus","aktiv")))</f>
        <v/>
      </c>
      <c r="P27" s="9" t="n"/>
      <c r="Q27" s="11" t="n"/>
      <c r="R27" s="9" t="n"/>
    </row>
    <row r="28">
      <c r="A28" s="8">
        <f>IF(B28="","",ROW()-4)</f>
        <v/>
      </c>
      <c r="B28" s="9" t="n"/>
      <c r="C28" s="9" t="n"/>
      <c r="D28" s="9" t="n"/>
      <c r="E28" s="9" t="n"/>
      <c r="F28" s="9" t="n"/>
      <c r="G28" s="9" t="n"/>
      <c r="H28" s="10" t="n"/>
      <c r="I28" s="10" t="n"/>
      <c r="J28" s="11" t="n"/>
      <c r="K28" s="11" t="n"/>
      <c r="L28" s="12" t="n"/>
      <c r="M28" s="13">
        <f>IF(B28="","",J28*12+K28)</f>
        <v/>
      </c>
      <c r="N28" s="8">
        <f>IF(I28="","",I28-TODAY())</f>
        <v/>
      </c>
      <c r="O28" s="8">
        <f>IF(I28="","",IF(N28&lt;0,"abgelaufen",IF(N28&lt;90,"läuft aus","aktiv")))</f>
        <v/>
      </c>
      <c r="P28" s="9" t="n"/>
      <c r="Q28" s="11" t="n"/>
      <c r="R28" s="9" t="n"/>
    </row>
    <row r="29">
      <c r="A29" s="8">
        <f>IF(B29="","",ROW()-4)</f>
        <v/>
      </c>
      <c r="B29" s="9" t="n"/>
      <c r="C29" s="9" t="n"/>
      <c r="D29" s="9" t="n"/>
      <c r="E29" s="9" t="n"/>
      <c r="F29" s="9" t="n"/>
      <c r="G29" s="9" t="n"/>
      <c r="H29" s="10" t="n"/>
      <c r="I29" s="10" t="n"/>
      <c r="J29" s="11" t="n"/>
      <c r="K29" s="11" t="n"/>
      <c r="L29" s="12" t="n"/>
      <c r="M29" s="13">
        <f>IF(B29="","",J29*12+K29)</f>
        <v/>
      </c>
      <c r="N29" s="8">
        <f>IF(I29="","",I29-TODAY())</f>
        <v/>
      </c>
      <c r="O29" s="8">
        <f>IF(I29="","",IF(N29&lt;0,"abgelaufen",IF(N29&lt;90,"läuft aus","aktiv")))</f>
        <v/>
      </c>
      <c r="P29" s="9" t="n"/>
      <c r="Q29" s="11" t="n"/>
      <c r="R29" s="9" t="n"/>
    </row>
    <row r="30">
      <c r="A30" s="8">
        <f>IF(B30="","",ROW()-4)</f>
        <v/>
      </c>
      <c r="B30" s="9" t="n"/>
      <c r="C30" s="9" t="n"/>
      <c r="D30" s="9" t="n"/>
      <c r="E30" s="9" t="n"/>
      <c r="F30" s="9" t="n"/>
      <c r="G30" s="9" t="n"/>
      <c r="H30" s="10" t="n"/>
      <c r="I30" s="10" t="n"/>
      <c r="J30" s="11" t="n"/>
      <c r="K30" s="11" t="n"/>
      <c r="L30" s="12" t="n"/>
      <c r="M30" s="13">
        <f>IF(B30="","",J30*12+K30)</f>
        <v/>
      </c>
      <c r="N30" s="8">
        <f>IF(I30="","",I30-TODAY())</f>
        <v/>
      </c>
      <c r="O30" s="8">
        <f>IF(I30="","",IF(N30&lt;0,"abgelaufen",IF(N30&lt;90,"läuft aus","aktiv")))</f>
        <v/>
      </c>
      <c r="P30" s="9" t="n"/>
      <c r="Q30" s="11" t="n"/>
      <c r="R30" s="9" t="n"/>
    </row>
    <row r="31">
      <c r="A31" s="8">
        <f>IF(B31="","",ROW()-4)</f>
        <v/>
      </c>
      <c r="B31" s="9" t="n"/>
      <c r="C31" s="9" t="n"/>
      <c r="D31" s="9" t="n"/>
      <c r="E31" s="9" t="n"/>
      <c r="F31" s="9" t="n"/>
      <c r="G31" s="9" t="n"/>
      <c r="H31" s="10" t="n"/>
      <c r="I31" s="10" t="n"/>
      <c r="J31" s="11" t="n"/>
      <c r="K31" s="11" t="n"/>
      <c r="L31" s="12" t="n"/>
      <c r="M31" s="13">
        <f>IF(B31="","",J31*12+K31)</f>
        <v/>
      </c>
      <c r="N31" s="8">
        <f>IF(I31="","",I31-TODAY())</f>
        <v/>
      </c>
      <c r="O31" s="8">
        <f>IF(I31="","",IF(N31&lt;0,"abgelaufen",IF(N31&lt;90,"läuft aus","aktiv")))</f>
        <v/>
      </c>
      <c r="P31" s="9" t="n"/>
      <c r="Q31" s="11" t="n"/>
      <c r="R31" s="9" t="n"/>
    </row>
    <row r="32">
      <c r="A32" s="8">
        <f>IF(B32="","",ROW()-4)</f>
        <v/>
      </c>
      <c r="B32" s="9" t="n"/>
      <c r="C32" s="9" t="n"/>
      <c r="D32" s="9" t="n"/>
      <c r="E32" s="9" t="n"/>
      <c r="F32" s="9" t="n"/>
      <c r="G32" s="9" t="n"/>
      <c r="H32" s="10" t="n"/>
      <c r="I32" s="10" t="n"/>
      <c r="J32" s="11" t="n"/>
      <c r="K32" s="11" t="n"/>
      <c r="L32" s="12" t="n"/>
      <c r="M32" s="13">
        <f>IF(B32="","",J32*12+K32)</f>
        <v/>
      </c>
      <c r="N32" s="8">
        <f>IF(I32="","",I32-TODAY())</f>
        <v/>
      </c>
      <c r="O32" s="8">
        <f>IF(I32="","",IF(N32&lt;0,"abgelaufen",IF(N32&lt;90,"läuft aus","aktiv")))</f>
        <v/>
      </c>
      <c r="P32" s="9" t="n"/>
      <c r="Q32" s="11" t="n"/>
      <c r="R32" s="9" t="n"/>
    </row>
    <row r="33">
      <c r="A33" s="8">
        <f>IF(B33="","",ROW()-4)</f>
        <v/>
      </c>
      <c r="B33" s="9" t="n"/>
      <c r="C33" s="9" t="n"/>
      <c r="D33" s="9" t="n"/>
      <c r="E33" s="9" t="n"/>
      <c r="F33" s="9" t="n"/>
      <c r="G33" s="9" t="n"/>
      <c r="H33" s="10" t="n"/>
      <c r="I33" s="10" t="n"/>
      <c r="J33" s="11" t="n"/>
      <c r="K33" s="11" t="n"/>
      <c r="L33" s="12" t="n"/>
      <c r="M33" s="13">
        <f>IF(B33="","",J33*12+K33)</f>
        <v/>
      </c>
      <c r="N33" s="8">
        <f>IF(I33="","",I33-TODAY())</f>
        <v/>
      </c>
      <c r="O33" s="8">
        <f>IF(I33="","",IF(N33&lt;0,"abgelaufen",IF(N33&lt;90,"läuft aus","aktiv")))</f>
        <v/>
      </c>
      <c r="P33" s="9" t="n"/>
      <c r="Q33" s="11" t="n"/>
      <c r="R33" s="9" t="n"/>
    </row>
    <row r="34">
      <c r="A34" s="8">
        <f>IF(B34="","",ROW()-4)</f>
        <v/>
      </c>
      <c r="B34" s="9" t="n"/>
      <c r="C34" s="9" t="n"/>
      <c r="D34" s="9" t="n"/>
      <c r="E34" s="9" t="n"/>
      <c r="F34" s="9" t="n"/>
      <c r="G34" s="9" t="n"/>
      <c r="H34" s="10" t="n"/>
      <c r="I34" s="10" t="n"/>
      <c r="J34" s="11" t="n"/>
      <c r="K34" s="11" t="n"/>
      <c r="L34" s="12" t="n"/>
      <c r="M34" s="13">
        <f>IF(B34="","",J34*12+K34)</f>
        <v/>
      </c>
      <c r="N34" s="8">
        <f>IF(I34="","",I34-TODAY())</f>
        <v/>
      </c>
      <c r="O34" s="8">
        <f>IF(I34="","",IF(N34&lt;0,"abgelaufen",IF(N34&lt;90,"läuft aus","aktiv")))</f>
        <v/>
      </c>
      <c r="P34" s="9" t="n"/>
      <c r="Q34" s="11" t="n"/>
      <c r="R34" s="9" t="n"/>
    </row>
    <row r="35">
      <c r="A35" s="8">
        <f>IF(B35="","",ROW()-4)</f>
        <v/>
      </c>
      <c r="B35" s="9" t="n"/>
      <c r="C35" s="9" t="n"/>
      <c r="D35" s="9" t="n"/>
      <c r="E35" s="9" t="n"/>
      <c r="F35" s="9" t="n"/>
      <c r="G35" s="9" t="n"/>
      <c r="H35" s="10" t="n"/>
      <c r="I35" s="10" t="n"/>
      <c r="J35" s="11" t="n"/>
      <c r="K35" s="11" t="n"/>
      <c r="L35" s="12" t="n"/>
      <c r="M35" s="13">
        <f>IF(B35="","",J35*12+K35)</f>
        <v/>
      </c>
      <c r="N35" s="8">
        <f>IF(I35="","",I35-TODAY())</f>
        <v/>
      </c>
      <c r="O35" s="8">
        <f>IF(I35="","",IF(N35&lt;0,"abgelaufen",IF(N35&lt;90,"läuft aus","aktiv")))</f>
        <v/>
      </c>
      <c r="P35" s="9" t="n"/>
      <c r="Q35" s="11" t="n"/>
      <c r="R35" s="9" t="n"/>
    </row>
    <row r="36">
      <c r="A36" s="8">
        <f>IF(B36="","",ROW()-4)</f>
        <v/>
      </c>
      <c r="B36" s="9" t="n"/>
      <c r="C36" s="9" t="n"/>
      <c r="D36" s="9" t="n"/>
      <c r="E36" s="9" t="n"/>
      <c r="F36" s="9" t="n"/>
      <c r="G36" s="9" t="n"/>
      <c r="H36" s="10" t="n"/>
      <c r="I36" s="10" t="n"/>
      <c r="J36" s="11" t="n"/>
      <c r="K36" s="11" t="n"/>
      <c r="L36" s="12" t="n"/>
      <c r="M36" s="13">
        <f>IF(B36="","",J36*12+K36)</f>
        <v/>
      </c>
      <c r="N36" s="8">
        <f>IF(I36="","",I36-TODAY())</f>
        <v/>
      </c>
      <c r="O36" s="8">
        <f>IF(I36="","",IF(N36&lt;0,"abgelaufen",IF(N36&lt;90,"läuft aus","aktiv")))</f>
        <v/>
      </c>
      <c r="P36" s="9" t="n"/>
      <c r="Q36" s="11" t="n"/>
      <c r="R36" s="9" t="n"/>
    </row>
    <row r="37">
      <c r="A37" s="8">
        <f>IF(B37="","",ROW()-4)</f>
        <v/>
      </c>
      <c r="B37" s="9" t="n"/>
      <c r="C37" s="9" t="n"/>
      <c r="D37" s="9" t="n"/>
      <c r="E37" s="9" t="n"/>
      <c r="F37" s="9" t="n"/>
      <c r="G37" s="9" t="n"/>
      <c r="H37" s="10" t="n"/>
      <c r="I37" s="10" t="n"/>
      <c r="J37" s="11" t="n"/>
      <c r="K37" s="11" t="n"/>
      <c r="L37" s="12" t="n"/>
      <c r="M37" s="13">
        <f>IF(B37="","",J37*12+K37)</f>
        <v/>
      </c>
      <c r="N37" s="8">
        <f>IF(I37="","",I37-TODAY())</f>
        <v/>
      </c>
      <c r="O37" s="8">
        <f>IF(I37="","",IF(N37&lt;0,"abgelaufen",IF(N37&lt;90,"läuft aus","aktiv")))</f>
        <v/>
      </c>
      <c r="P37" s="9" t="n"/>
      <c r="Q37" s="11" t="n"/>
      <c r="R37" s="9" t="n"/>
    </row>
    <row r="38">
      <c r="A38" s="8">
        <f>IF(B38="","",ROW()-4)</f>
        <v/>
      </c>
      <c r="B38" s="9" t="n"/>
      <c r="C38" s="9" t="n"/>
      <c r="D38" s="9" t="n"/>
      <c r="E38" s="9" t="n"/>
      <c r="F38" s="9" t="n"/>
      <c r="G38" s="9" t="n"/>
      <c r="H38" s="10" t="n"/>
      <c r="I38" s="10" t="n"/>
      <c r="J38" s="11" t="n"/>
      <c r="K38" s="11" t="n"/>
      <c r="L38" s="12" t="n"/>
      <c r="M38" s="13">
        <f>IF(B38="","",J38*12+K38)</f>
        <v/>
      </c>
      <c r="N38" s="8">
        <f>IF(I38="","",I38-TODAY())</f>
        <v/>
      </c>
      <c r="O38" s="8">
        <f>IF(I38="","",IF(N38&lt;0,"abgelaufen",IF(N38&lt;90,"läuft aus","aktiv")))</f>
        <v/>
      </c>
      <c r="P38" s="9" t="n"/>
      <c r="Q38" s="11" t="n"/>
      <c r="R38" s="9" t="n"/>
    </row>
    <row r="39">
      <c r="A39" s="8">
        <f>IF(B39="","",ROW()-4)</f>
        <v/>
      </c>
      <c r="B39" s="9" t="n"/>
      <c r="C39" s="9" t="n"/>
      <c r="D39" s="9" t="n"/>
      <c r="E39" s="9" t="n"/>
      <c r="F39" s="9" t="n"/>
      <c r="G39" s="9" t="n"/>
      <c r="H39" s="10" t="n"/>
      <c r="I39" s="10" t="n"/>
      <c r="J39" s="11" t="n"/>
      <c r="K39" s="11" t="n"/>
      <c r="L39" s="12" t="n"/>
      <c r="M39" s="13">
        <f>IF(B39="","",J39*12+K39)</f>
        <v/>
      </c>
      <c r="N39" s="8">
        <f>IF(I39="","",I39-TODAY())</f>
        <v/>
      </c>
      <c r="O39" s="8">
        <f>IF(I39="","",IF(N39&lt;0,"abgelaufen",IF(N39&lt;90,"läuft aus","aktiv")))</f>
        <v/>
      </c>
      <c r="P39" s="9" t="n"/>
      <c r="Q39" s="11" t="n"/>
      <c r="R39" s="9" t="n"/>
    </row>
    <row r="40">
      <c r="A40" s="8">
        <f>IF(B40="","",ROW()-4)</f>
        <v/>
      </c>
      <c r="B40" s="9" t="n"/>
      <c r="C40" s="9" t="n"/>
      <c r="D40" s="9" t="n"/>
      <c r="E40" s="9" t="n"/>
      <c r="F40" s="9" t="n"/>
      <c r="G40" s="9" t="n"/>
      <c r="H40" s="10" t="n"/>
      <c r="I40" s="10" t="n"/>
      <c r="J40" s="11" t="n"/>
      <c r="K40" s="11" t="n"/>
      <c r="L40" s="12" t="n"/>
      <c r="M40" s="13">
        <f>IF(B40="","",J40*12+K40)</f>
        <v/>
      </c>
      <c r="N40" s="8">
        <f>IF(I40="","",I40-TODAY())</f>
        <v/>
      </c>
      <c r="O40" s="8">
        <f>IF(I40="","",IF(N40&lt;0,"abgelaufen",IF(N40&lt;90,"läuft aus","aktiv")))</f>
        <v/>
      </c>
      <c r="P40" s="9" t="n"/>
      <c r="Q40" s="11" t="n"/>
      <c r="R40" s="9" t="n"/>
    </row>
    <row r="41">
      <c r="A41" s="8">
        <f>IF(B41="","",ROW()-4)</f>
        <v/>
      </c>
      <c r="B41" s="9" t="n"/>
      <c r="C41" s="9" t="n"/>
      <c r="D41" s="9" t="n"/>
      <c r="E41" s="9" t="n"/>
      <c r="F41" s="9" t="n"/>
      <c r="G41" s="9" t="n"/>
      <c r="H41" s="10" t="n"/>
      <c r="I41" s="10" t="n"/>
      <c r="J41" s="11" t="n"/>
      <c r="K41" s="11" t="n"/>
      <c r="L41" s="12" t="n"/>
      <c r="M41" s="13">
        <f>IF(B41="","",J41*12+K41)</f>
        <v/>
      </c>
      <c r="N41" s="8">
        <f>IF(I41="","",I41-TODAY())</f>
        <v/>
      </c>
      <c r="O41" s="8">
        <f>IF(I41="","",IF(N41&lt;0,"abgelaufen",IF(N41&lt;90,"läuft aus","aktiv")))</f>
        <v/>
      </c>
      <c r="P41" s="9" t="n"/>
      <c r="Q41" s="11" t="n"/>
      <c r="R41" s="9" t="n"/>
    </row>
    <row r="42">
      <c r="A42" s="8">
        <f>IF(B42="","",ROW()-4)</f>
        <v/>
      </c>
      <c r="B42" s="9" t="n"/>
      <c r="C42" s="9" t="n"/>
      <c r="D42" s="9" t="n"/>
      <c r="E42" s="9" t="n"/>
      <c r="F42" s="9" t="n"/>
      <c r="G42" s="9" t="n"/>
      <c r="H42" s="10" t="n"/>
      <c r="I42" s="10" t="n"/>
      <c r="J42" s="11" t="n"/>
      <c r="K42" s="11" t="n"/>
      <c r="L42" s="12" t="n"/>
      <c r="M42" s="13">
        <f>IF(B42="","",J42*12+K42)</f>
        <v/>
      </c>
      <c r="N42" s="8">
        <f>IF(I42="","",I42-TODAY())</f>
        <v/>
      </c>
      <c r="O42" s="8">
        <f>IF(I42="","",IF(N42&lt;0,"abgelaufen",IF(N42&lt;90,"läuft aus","aktiv")))</f>
        <v/>
      </c>
      <c r="P42" s="9" t="n"/>
      <c r="Q42" s="11" t="n"/>
      <c r="R42" s="9" t="n"/>
    </row>
    <row r="43">
      <c r="A43" s="8">
        <f>IF(B43="","",ROW()-4)</f>
        <v/>
      </c>
      <c r="B43" s="9" t="n"/>
      <c r="C43" s="9" t="n"/>
      <c r="D43" s="9" t="n"/>
      <c r="E43" s="9" t="n"/>
      <c r="F43" s="9" t="n"/>
      <c r="G43" s="9" t="n"/>
      <c r="H43" s="10" t="n"/>
      <c r="I43" s="10" t="n"/>
      <c r="J43" s="11" t="n"/>
      <c r="K43" s="11" t="n"/>
      <c r="L43" s="12" t="n"/>
      <c r="M43" s="13">
        <f>IF(B43="","",J43*12+K43)</f>
        <v/>
      </c>
      <c r="N43" s="8">
        <f>IF(I43="","",I43-TODAY())</f>
        <v/>
      </c>
      <c r="O43" s="8">
        <f>IF(I43="","",IF(N43&lt;0,"abgelaufen",IF(N43&lt;90,"läuft aus","aktiv")))</f>
        <v/>
      </c>
      <c r="P43" s="9" t="n"/>
      <c r="Q43" s="11" t="n"/>
      <c r="R43" s="9" t="n"/>
    </row>
    <row r="44">
      <c r="A44" s="8">
        <f>IF(B44="","",ROW()-4)</f>
        <v/>
      </c>
      <c r="B44" s="9" t="n"/>
      <c r="C44" s="9" t="n"/>
      <c r="D44" s="9" t="n"/>
      <c r="E44" s="9" t="n"/>
      <c r="F44" s="9" t="n"/>
      <c r="G44" s="9" t="n"/>
      <c r="H44" s="10" t="n"/>
      <c r="I44" s="10" t="n"/>
      <c r="J44" s="11" t="n"/>
      <c r="K44" s="11" t="n"/>
      <c r="L44" s="12" t="n"/>
      <c r="M44" s="13">
        <f>IF(B44="","",J44*12+K44)</f>
        <v/>
      </c>
      <c r="N44" s="8">
        <f>IF(I44="","",I44-TODAY())</f>
        <v/>
      </c>
      <c r="O44" s="8">
        <f>IF(I44="","",IF(N44&lt;0,"abgelaufen",IF(N44&lt;90,"läuft aus","aktiv")))</f>
        <v/>
      </c>
      <c r="P44" s="9" t="n"/>
      <c r="Q44" s="11" t="n"/>
      <c r="R44" s="9" t="n"/>
    </row>
    <row r="46">
      <c r="I46" s="14" t="inlineStr">
        <is>
          <t>Summe</t>
        </is>
      </c>
      <c r="J46" s="15">
        <f>SUM(J5:J44)</f>
        <v/>
      </c>
      <c r="K46" s="15">
        <f>SUM(K5:K44)</f>
        <v/>
      </c>
      <c r="M46" s="15">
        <f>SUM(M5:M44)</f>
        <v/>
      </c>
    </row>
  </sheetData>
  <conditionalFormatting sqref="O5:O44">
    <cfRule type="cellIs" priority="1" operator="equal" dxfId="0">
      <formula>"abgelaufen"</formula>
    </cfRule>
    <cfRule type="cellIs" priority="2" operator="equal" dxfId="1">
      <formula>"läuft aus"</formula>
    </cfRule>
    <cfRule type="cellIs" priority="3" operator="equal" dxfId="2">
      <formula>"aktiv"</formula>
    </cfRule>
  </conditionalFormatting>
  <dataValidations count="2">
    <dataValidation sqref="E5:E44" showDropDown="0" showInputMessage="0" showErrorMessage="0" allowBlank="1" type="list">
      <formula1>"Pro,Academy,Talent,Staff,Creator"</formula1>
    </dataValidation>
    <dataValidation sqref="D5:D44" showDropDown="0" showInputMessage="0" showErrorMessage="0" allowBlank="1" type="list">
      <formula1>"IGL,Fragger,Support,Flex,Sub,Coach,Analyst,Manager,Creator"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96A3"/>
    <outlinePr summaryBelow="1" summaryRight="1"/>
    <pageSetUpPr/>
  </sheetPr>
  <dimension ref="A1:E20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6" t="inlineStr">
        <is>
          <t>VALIOUX · Preisgeld- &amp; Bonus-Rechner</t>
        </is>
      </c>
    </row>
    <row r="2">
      <c r="A2" s="5" t="inlineStr">
        <is>
          <t>Gelb = Eingabe · Grau = Formel (nicht überschreiben)</t>
        </is>
      </c>
    </row>
    <row r="4">
      <c r="A4" t="inlineStr">
        <is>
          <t>Turnier-Preisgeld gesamt (Team)</t>
        </is>
      </c>
      <c r="B4" s="16" t="n">
        <v>0</v>
      </c>
    </row>
    <row r="5">
      <c r="A5" t="inlineStr">
        <is>
          <t>Anteil Organisation</t>
        </is>
      </c>
      <c r="B5" s="17" t="n">
        <v>0.3</v>
      </c>
    </row>
    <row r="6">
      <c r="A6" t="inlineStr">
        <is>
          <t>Anteil Spieler (gesamt)</t>
        </is>
      </c>
      <c r="B6" s="18">
        <f>1-B5</f>
        <v/>
      </c>
    </row>
    <row r="7">
      <c r="A7" t="inlineStr">
        <is>
          <t>Betrag Organisation</t>
        </is>
      </c>
      <c r="B7" s="19">
        <f>B4*B5</f>
        <v/>
      </c>
    </row>
    <row r="8">
      <c r="A8" t="inlineStr">
        <is>
          <t>Betrag Spieler (gesamt)</t>
        </is>
      </c>
      <c r="B8" s="19">
        <f>B4*B6</f>
        <v/>
      </c>
    </row>
    <row r="10" ht="32" customHeight="1">
      <c r="A10" s="7" t="inlineStr">
        <is>
          <t>Spieler</t>
        </is>
      </c>
      <c r="B10" s="7" t="inlineStr">
        <is>
          <t>Gewichtung</t>
        </is>
      </c>
      <c r="C10" s="7" t="inlineStr">
        <is>
          <t>Anteil %</t>
        </is>
      </c>
      <c r="D10" s="7" t="inlineStr">
        <is>
          <t>Auszahlung brutto</t>
        </is>
      </c>
      <c r="E10" s="7" t="inlineStr">
        <is>
          <t>Notiz</t>
        </is>
      </c>
    </row>
    <row r="11">
      <c r="A11" s="9" t="n"/>
      <c r="B11" s="9" t="n"/>
      <c r="C11" s="20">
        <f>IF(B11="","",B11/SUM($B$11:$B$18))</f>
        <v/>
      </c>
      <c r="D11" s="13">
        <f>IF(B11="","",C11*$B$8)</f>
        <v/>
      </c>
      <c r="E11" s="9" t="n"/>
    </row>
    <row r="12">
      <c r="A12" s="9" t="n"/>
      <c r="B12" s="9" t="n"/>
      <c r="C12" s="20">
        <f>IF(B12="","",B12/SUM($B$11:$B$18))</f>
        <v/>
      </c>
      <c r="D12" s="13">
        <f>IF(B12="","",C12*$B$8)</f>
        <v/>
      </c>
      <c r="E12" s="9" t="n"/>
    </row>
    <row r="13">
      <c r="A13" s="9" t="n"/>
      <c r="B13" s="9" t="n"/>
      <c r="C13" s="20">
        <f>IF(B13="","",B13/SUM($B$11:$B$18))</f>
        <v/>
      </c>
      <c r="D13" s="13">
        <f>IF(B13="","",C13*$B$8)</f>
        <v/>
      </c>
      <c r="E13" s="9" t="n"/>
    </row>
    <row r="14">
      <c r="A14" s="9" t="n"/>
      <c r="B14" s="9" t="n"/>
      <c r="C14" s="20">
        <f>IF(B14="","",B14/SUM($B$11:$B$18))</f>
        <v/>
      </c>
      <c r="D14" s="13">
        <f>IF(B14="","",C14*$B$8)</f>
        <v/>
      </c>
      <c r="E14" s="9" t="n"/>
    </row>
    <row r="15">
      <c r="A15" s="9" t="n"/>
      <c r="B15" s="9" t="n"/>
      <c r="C15" s="20">
        <f>IF(B15="","",B15/SUM($B$11:$B$18))</f>
        <v/>
      </c>
      <c r="D15" s="13">
        <f>IF(B15="","",C15*$B$8)</f>
        <v/>
      </c>
      <c r="E15" s="9" t="n"/>
    </row>
    <row r="16">
      <c r="A16" s="9" t="n"/>
      <c r="B16" s="9" t="n"/>
      <c r="C16" s="20">
        <f>IF(B16="","",B16/SUM($B$11:$B$18))</f>
        <v/>
      </c>
      <c r="D16" s="13">
        <f>IF(B16="","",C16*$B$8)</f>
        <v/>
      </c>
      <c r="E16" s="9" t="n"/>
    </row>
    <row r="17">
      <c r="A17" s="9" t="n"/>
      <c r="B17" s="9" t="n"/>
      <c r="C17" s="20">
        <f>IF(B17="","",B17/SUM($B$11:$B$18))</f>
        <v/>
      </c>
      <c r="D17" s="13">
        <f>IF(B17="","",C17*$B$8)</f>
        <v/>
      </c>
      <c r="E17" s="9" t="n"/>
    </row>
    <row r="18">
      <c r="A18" s="9" t="n"/>
      <c r="B18" s="9" t="n"/>
      <c r="C18" s="20">
        <f>IF(B18="","",B18/SUM($B$11:$B$18))</f>
        <v/>
      </c>
      <c r="D18" s="13">
        <f>IF(B18="","",C18*$B$8)</f>
        <v/>
      </c>
      <c r="E18" s="9" t="n"/>
    </row>
    <row r="20">
      <c r="A20" s="5" t="inlineStr">
        <is>
          <t>Hinweis: Gewichtung z. B. 1 = gleichmäßig. Steuern/Sozialabgaben separat prüfen (Steuerberater).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96A3"/>
    <outlinePr summaryBelow="1" summaryRight="1"/>
    <pageSetUpPr/>
  </sheetPr>
  <dimension ref="A1:N28"/>
  <sheetViews>
    <sheetView showGridLines="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6" t="inlineStr">
        <is>
          <t>VALIOUX · Jahresbudget &amp; Cashflow</t>
        </is>
      </c>
    </row>
    <row r="2">
      <c r="A2" s="5" t="inlineStr">
        <is>
          <t>Gelb = Eingabe · Grau = Formel (nicht überschreiben)</t>
        </is>
      </c>
    </row>
    <row r="3">
      <c r="A3" t="inlineStr">
        <is>
          <t>Startkapital (Kontostand)</t>
        </is>
      </c>
      <c r="B3" s="16" t="n">
        <v>0</v>
      </c>
    </row>
    <row r="5" ht="32" customHeight="1">
      <c r="A5" s="7" t="inlineStr">
        <is>
          <t>Kategorie</t>
        </is>
      </c>
      <c r="B5" s="7" t="inlineStr">
        <is>
          <t>Jan</t>
        </is>
      </c>
      <c r="C5" s="7" t="inlineStr">
        <is>
          <t>Feb</t>
        </is>
      </c>
      <c r="D5" s="7" t="inlineStr">
        <is>
          <t>Mär</t>
        </is>
      </c>
      <c r="E5" s="7" t="inlineStr">
        <is>
          <t>Apr</t>
        </is>
      </c>
      <c r="F5" s="7" t="inlineStr">
        <is>
          <t>Mai</t>
        </is>
      </c>
      <c r="G5" s="7" t="inlineStr">
        <is>
          <t>Jun</t>
        </is>
      </c>
      <c r="H5" s="7" t="inlineStr">
        <is>
          <t>Jul</t>
        </is>
      </c>
      <c r="I5" s="7" t="inlineStr">
        <is>
          <t>Aug</t>
        </is>
      </c>
      <c r="J5" s="7" t="inlineStr">
        <is>
          <t>Sep</t>
        </is>
      </c>
      <c r="K5" s="7" t="inlineStr">
        <is>
          <t>Okt</t>
        </is>
      </c>
      <c r="L5" s="7" t="inlineStr">
        <is>
          <t>Nov</t>
        </is>
      </c>
      <c r="M5" s="7" t="inlineStr">
        <is>
          <t>Dez</t>
        </is>
      </c>
      <c r="N5" s="7" t="inlineStr">
        <is>
          <t>Summe</t>
        </is>
      </c>
    </row>
    <row r="6">
      <c r="A6" s="14" t="inlineStr">
        <is>
          <t>EINNAHMEN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</row>
    <row r="7">
      <c r="A7" t="inlineStr">
        <is>
          <t>Sponsoring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21">
        <f>SUM(B7:M7)</f>
        <v/>
      </c>
    </row>
    <row r="8">
      <c r="A8" t="inlineStr">
        <is>
          <t>Preisgelder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21">
        <f>SUM(B8:M8)</f>
        <v/>
      </c>
    </row>
    <row r="9">
      <c r="A9" t="inlineStr">
        <is>
          <t>Merch / Shop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21">
        <f>SUM(B9:M9)</f>
        <v/>
      </c>
    </row>
    <row r="10">
      <c r="A10" t="inlineStr">
        <is>
          <t>Content / Werbeeinnahmen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21">
        <f>SUM(B10:M10)</f>
        <v/>
      </c>
    </row>
    <row r="11">
      <c r="A11" t="inlineStr">
        <is>
          <t>Investorengelder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21">
        <f>SUM(B11:M11)</f>
        <v/>
      </c>
    </row>
    <row r="12">
      <c r="A12" t="inlineStr">
        <is>
          <t>Sonstiges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21">
        <f>SUM(B12:M12)</f>
        <v/>
      </c>
    </row>
    <row r="13">
      <c r="A13" s="14" t="inlineStr">
        <is>
          <t>Summe Einnahmen</t>
        </is>
      </c>
      <c r="B13" s="22">
        <f>SUM(B7:B12)</f>
        <v/>
      </c>
      <c r="C13" s="22">
        <f>SUM(C7:C12)</f>
        <v/>
      </c>
      <c r="D13" s="22">
        <f>SUM(D7:D12)</f>
        <v/>
      </c>
      <c r="E13" s="22">
        <f>SUM(E7:E12)</f>
        <v/>
      </c>
      <c r="F13" s="22">
        <f>SUM(F7:F12)</f>
        <v/>
      </c>
      <c r="G13" s="22">
        <f>SUM(G7:G12)</f>
        <v/>
      </c>
      <c r="H13" s="22">
        <f>SUM(H7:H12)</f>
        <v/>
      </c>
      <c r="I13" s="22">
        <f>SUM(I7:I12)</f>
        <v/>
      </c>
      <c r="J13" s="22">
        <f>SUM(J7:J12)</f>
        <v/>
      </c>
      <c r="K13" s="22">
        <f>SUM(K7:K12)</f>
        <v/>
      </c>
      <c r="L13" s="22">
        <f>SUM(L7:L12)</f>
        <v/>
      </c>
      <c r="M13" s="22">
        <f>SUM(M7:M12)</f>
        <v/>
      </c>
      <c r="N13" s="22">
        <f>SUM(N7:N12)</f>
        <v/>
      </c>
    </row>
    <row r="14"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</row>
    <row r="15">
      <c r="A15" s="14" t="inlineStr">
        <is>
          <t>AUSGABEN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</row>
    <row r="16">
      <c r="A16" t="inlineStr">
        <is>
          <t>Spielergehälter (aus Roster)</t>
        </is>
      </c>
      <c r="B16" s="13">
        <f>Roster!$J$46</f>
        <v/>
      </c>
      <c r="C16" s="13">
        <f>Roster!$J$46</f>
        <v/>
      </c>
      <c r="D16" s="13">
        <f>Roster!$J$46</f>
        <v/>
      </c>
      <c r="E16" s="13">
        <f>Roster!$J$46</f>
        <v/>
      </c>
      <c r="F16" s="13">
        <f>Roster!$J$46</f>
        <v/>
      </c>
      <c r="G16" s="13">
        <f>Roster!$J$46</f>
        <v/>
      </c>
      <c r="H16" s="13">
        <f>Roster!$J$46</f>
        <v/>
      </c>
      <c r="I16" s="13">
        <f>Roster!$J$46</f>
        <v/>
      </c>
      <c r="J16" s="13">
        <f>Roster!$J$46</f>
        <v/>
      </c>
      <c r="K16" s="13">
        <f>Roster!$J$46</f>
        <v/>
      </c>
      <c r="L16" s="13">
        <f>Roster!$J$46</f>
        <v/>
      </c>
      <c r="M16" s="13">
        <f>Roster!$J$46</f>
        <v/>
      </c>
      <c r="N16" s="21">
        <f>SUM(B16:M16)</f>
        <v/>
      </c>
    </row>
    <row r="17">
      <c r="A17" t="inlineStr">
        <is>
          <t>Staff / Coaches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21">
        <f>SUM(B17:M17)</f>
        <v/>
      </c>
    </row>
    <row r="18">
      <c r="A18" t="inlineStr">
        <is>
          <t>Bootcamp &amp; Reisen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21">
        <f>SUM(B18:M18)</f>
        <v/>
      </c>
    </row>
    <row r="19">
      <c r="A19" t="inlineStr">
        <is>
          <t>Equipment &amp; Hardware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21">
        <f>SUM(B19:M19)</f>
        <v/>
      </c>
    </row>
    <row r="20">
      <c r="A20" t="inlineStr">
        <is>
          <t>Marketing &amp; Content-Produktion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21">
        <f>SUM(B20:M20)</f>
        <v/>
      </c>
    </row>
    <row r="21">
      <c r="A21" t="inlineStr">
        <is>
          <t>Software &amp; Tools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21">
        <f>SUM(B21:M21)</f>
        <v/>
      </c>
    </row>
    <row r="22">
      <c r="A22" t="inlineStr">
        <is>
          <t>Recht, Steuer, Versicherung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21">
        <f>SUM(B22:M22)</f>
        <v/>
      </c>
    </row>
    <row r="23">
      <c r="A23" t="inlineStr">
        <is>
          <t>Turniergebühren / Slots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21">
        <f>SUM(B23:M23)</f>
        <v/>
      </c>
    </row>
    <row r="24">
      <c r="A24" t="inlineStr">
        <is>
          <t>Sonstiges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21">
        <f>SUM(B24:M24)</f>
        <v/>
      </c>
    </row>
    <row r="25">
      <c r="A25" s="14" t="inlineStr">
        <is>
          <t>Summe Ausgaben</t>
        </is>
      </c>
      <c r="B25" s="22">
        <f>SUM(B16:B24)</f>
        <v/>
      </c>
      <c r="C25" s="22">
        <f>SUM(C16:C24)</f>
        <v/>
      </c>
      <c r="D25" s="22">
        <f>SUM(D16:D24)</f>
        <v/>
      </c>
      <c r="E25" s="22">
        <f>SUM(E16:E24)</f>
        <v/>
      </c>
      <c r="F25" s="22">
        <f>SUM(F16:F24)</f>
        <v/>
      </c>
      <c r="G25" s="22">
        <f>SUM(G16:G24)</f>
        <v/>
      </c>
      <c r="H25" s="22">
        <f>SUM(H16:H24)</f>
        <v/>
      </c>
      <c r="I25" s="22">
        <f>SUM(I16:I24)</f>
        <v/>
      </c>
      <c r="J25" s="22">
        <f>SUM(J16:J24)</f>
        <v/>
      </c>
      <c r="K25" s="22">
        <f>SUM(K16:K24)</f>
        <v/>
      </c>
      <c r="L25" s="22">
        <f>SUM(L16:L24)</f>
        <v/>
      </c>
      <c r="M25" s="22">
        <f>SUM(M16:M24)</f>
        <v/>
      </c>
      <c r="N25" s="22">
        <f>SUM(N16:N24)</f>
        <v/>
      </c>
    </row>
    <row r="26"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</row>
    <row r="27">
      <c r="A27" s="14" t="inlineStr">
        <is>
          <t>Ergebnis (Monat)</t>
        </is>
      </c>
      <c r="B27" s="22">
        <f>B13-B25</f>
        <v/>
      </c>
      <c r="C27" s="22">
        <f>C13-C25</f>
        <v/>
      </c>
      <c r="D27" s="22">
        <f>D13-D25</f>
        <v/>
      </c>
      <c r="E27" s="22">
        <f>E13-E25</f>
        <v/>
      </c>
      <c r="F27" s="22">
        <f>F13-F25</f>
        <v/>
      </c>
      <c r="G27" s="22">
        <f>G13-G25</f>
        <v/>
      </c>
      <c r="H27" s="22">
        <f>H13-H25</f>
        <v/>
      </c>
      <c r="I27" s="22">
        <f>I13-I25</f>
        <v/>
      </c>
      <c r="J27" s="22">
        <f>J13-J25</f>
        <v/>
      </c>
      <c r="K27" s="22">
        <f>K13-K25</f>
        <v/>
      </c>
      <c r="L27" s="22">
        <f>L13-L25</f>
        <v/>
      </c>
      <c r="M27" s="22">
        <f>M13-M25</f>
        <v/>
      </c>
      <c r="N27" s="22">
        <f>N13-N25</f>
        <v/>
      </c>
    </row>
    <row r="28">
      <c r="A28" s="14" t="inlineStr">
        <is>
          <t>Kontostand kumuliert</t>
        </is>
      </c>
      <c r="B28" s="22">
        <f>$B$3+SUM($B$27:B27)</f>
        <v/>
      </c>
      <c r="C28" s="22">
        <f>$B$3+SUM($B$27:C27)</f>
        <v/>
      </c>
      <c r="D28" s="22">
        <f>$B$3+SUM($B$27:D27)</f>
        <v/>
      </c>
      <c r="E28" s="22">
        <f>$B$3+SUM($B$27:E27)</f>
        <v/>
      </c>
      <c r="F28" s="22">
        <f>$B$3+SUM($B$27:F27)</f>
        <v/>
      </c>
      <c r="G28" s="22">
        <f>$B$3+SUM($B$27:G27)</f>
        <v/>
      </c>
      <c r="H28" s="22">
        <f>$B$3+SUM($B$27:H27)</f>
        <v/>
      </c>
      <c r="I28" s="22">
        <f>$B$3+SUM($B$27:I27)</f>
        <v/>
      </c>
      <c r="J28" s="22">
        <f>$B$3+SUM($B$27:J27)</f>
        <v/>
      </c>
      <c r="K28" s="22">
        <f>$B$3+SUM($B$27:K27)</f>
        <v/>
      </c>
      <c r="L28" s="22">
        <f>$B$3+SUM($B$27:L27)</f>
        <v/>
      </c>
      <c r="M28" s="22">
        <f>$B$3+SUM($B$27:M27)</f>
        <v/>
      </c>
      <c r="N28" s="22" t="n"/>
    </row>
  </sheetData>
  <conditionalFormatting sqref="B28:M28">
    <cfRule type="cellIs" priority="1" operator="lessThan" dxfId="3">
      <formula>0</formula>
    </cfRule>
  </conditionalFormatting>
  <conditionalFormatting sqref="B27:N27">
    <cfRule type="cellIs" priority="2" operator="lessThan" dxfId="3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96A3"/>
    <outlinePr summaryBelow="1" summaryRight="1"/>
    <pageSetUpPr/>
  </sheetPr>
  <dimension ref="A1:E20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4" customWidth="1" min="4" max="4"/>
    <col width="40" customWidth="1" min="5" max="5"/>
  </cols>
  <sheetData>
    <row r="1">
      <c r="A1" s="6" t="inlineStr">
        <is>
          <t>VALIOUX · Einmalige Gründungskosten</t>
        </is>
      </c>
    </row>
    <row r="2">
      <c r="A2" s="5" t="inlineStr">
        <is>
          <t>Gelb = Eingabe · Grau = Formel (nicht überschreiben)</t>
        </is>
      </c>
    </row>
    <row r="4" ht="32" customHeight="1">
      <c r="A4" s="7" t="inlineStr">
        <is>
          <t>Posten</t>
        </is>
      </c>
      <c r="B4" s="7" t="inlineStr">
        <is>
          <t>Geplant €</t>
        </is>
      </c>
      <c r="C4" s="7" t="inlineStr">
        <is>
          <t>Ist €</t>
        </is>
      </c>
      <c r="D4" s="7" t="inlineStr">
        <is>
          <t>Status</t>
        </is>
      </c>
      <c r="E4" s="7" t="inlineStr">
        <is>
          <t>Hinweis</t>
        </is>
      </c>
    </row>
    <row r="5">
      <c r="A5" s="9" t="inlineStr">
        <is>
          <t>Rechtsform-Gründung (Notar, Handelsregister)</t>
        </is>
      </c>
      <c r="B5" s="11" t="n"/>
      <c r="C5" s="11" t="n"/>
      <c r="D5" s="9" t="n"/>
      <c r="E5" s="9" t="inlineStr">
        <is>
          <t>Je nach Rechtsform/Land; Beratung einholen</t>
        </is>
      </c>
    </row>
    <row r="6">
      <c r="A6" s="9" t="inlineStr">
        <is>
          <t>Rechtsberatung Verträge (Spieler, Sponsor, Investor)</t>
        </is>
      </c>
      <c r="B6" s="11" t="n"/>
      <c r="C6" s="11" t="n"/>
      <c r="D6" s="9" t="n"/>
      <c r="E6" s="9" t="inlineStr">
        <is>
          <t>Vorlagen prüfen lassen</t>
        </is>
      </c>
    </row>
    <row r="7">
      <c r="A7" s="9" t="inlineStr">
        <is>
          <t>Markenanmeldung (Wort-/Bildmarke)</t>
        </is>
      </c>
      <c r="B7" s="11" t="n"/>
      <c r="C7" s="11" t="n"/>
      <c r="D7" s="9" t="n"/>
      <c r="E7" s="9" t="inlineStr">
        <is>
          <t>Klassen 9, 25, 35, 41; Recherche vorab</t>
        </is>
      </c>
    </row>
    <row r="8">
      <c r="A8" s="9" t="inlineStr">
        <is>
          <t>Domain(s) &amp; Hosting</t>
        </is>
      </c>
      <c r="B8" s="11" t="n"/>
      <c r="C8" s="11" t="n"/>
      <c r="D8" s="9" t="n"/>
      <c r="E8" s="9" t="inlineStr">
        <is>
          <t>Hauptdomain + Schutzdomains</t>
        </is>
      </c>
    </row>
    <row r="9">
      <c r="A9" s="9" t="inlineStr">
        <is>
          <t>Logo/Branding/Design (extern)</t>
        </is>
      </c>
      <c r="B9" s="11" t="n"/>
      <c r="C9" s="11" t="n"/>
      <c r="D9" s="9" t="n"/>
      <c r="E9" s="9" t="inlineStr">
        <is>
          <t>Falls nicht selbst erstellt</t>
        </is>
      </c>
    </row>
    <row r="10">
      <c r="A10" s="9" t="inlineStr">
        <is>
          <t>Trikot-Erstausstattung</t>
        </is>
      </c>
      <c r="B10" s="11" t="n"/>
      <c r="C10" s="11" t="n"/>
      <c r="D10" s="9" t="n"/>
      <c r="E10" s="9" t="inlineStr">
        <is>
          <t>Design, Muster, Erstserie, Größen</t>
        </is>
      </c>
    </row>
    <row r="11">
      <c r="A11" s="9" t="inlineStr">
        <is>
          <t>Hardware-Erstausstattung</t>
        </is>
      </c>
      <c r="B11" s="11" t="n"/>
      <c r="C11" s="11" t="n"/>
      <c r="D11" s="9" t="n"/>
      <c r="E11" s="9" t="inlineStr">
        <is>
          <t>PCs, Monitore, Peripherie</t>
        </is>
      </c>
    </row>
    <row r="12">
      <c r="A12" s="9" t="inlineStr">
        <is>
          <t>Versicherungen (Haftpflicht, Equipment, Unfall)</t>
        </is>
      </c>
      <c r="B12" s="11" t="n"/>
      <c r="C12" s="11" t="n"/>
      <c r="D12" s="9" t="n"/>
      <c r="E12" s="9" t="inlineStr">
        <is>
          <t>Angebote vergleichen</t>
        </is>
      </c>
    </row>
    <row r="13">
      <c r="A13" s="9" t="inlineStr">
        <is>
          <t>Steuerberater / Buchhaltung Setup</t>
        </is>
      </c>
      <c r="B13" s="11" t="n"/>
      <c r="C13" s="11" t="n"/>
      <c r="D13" s="9" t="n"/>
      <c r="E13" s="9" t="inlineStr"/>
    </row>
    <row r="14">
      <c r="A14" s="9" t="inlineStr">
        <is>
          <t>Bankkonto, Zahlungsanbieter</t>
        </is>
      </c>
      <c r="B14" s="11" t="n"/>
      <c r="C14" s="11" t="n"/>
      <c r="D14" s="9" t="n"/>
      <c r="E14" s="9" t="inlineStr"/>
    </row>
    <row r="15">
      <c r="A15" s="9" t="inlineStr">
        <is>
          <t>Software (Notion, Discord Bots, Adobe, OBS-Tools)</t>
        </is>
      </c>
      <c r="B15" s="11" t="n"/>
      <c r="C15" s="11" t="n"/>
      <c r="D15" s="9" t="n"/>
      <c r="E15" s="9" t="inlineStr"/>
    </row>
    <row r="16">
      <c r="A16" s="9" t="inlineStr">
        <is>
          <t>Website Betrieb / Tools</t>
        </is>
      </c>
      <c r="B16" s="11" t="n"/>
      <c r="C16" s="11" t="n"/>
      <c r="D16" s="9" t="n"/>
      <c r="E16" s="9" t="inlineStr"/>
    </row>
    <row r="17">
      <c r="A17" s="9" t="inlineStr">
        <is>
          <t>Launch-Marketing / Content-Paket</t>
        </is>
      </c>
      <c r="B17" s="11" t="n"/>
      <c r="C17" s="11" t="n"/>
      <c r="D17" s="9" t="n"/>
      <c r="E17" s="9" t="inlineStr"/>
    </row>
    <row r="18">
      <c r="A18" s="9" t="inlineStr">
        <is>
          <t>Reserve (10–20 %)</t>
        </is>
      </c>
      <c r="B18" s="11" t="n"/>
      <c r="C18" s="11" t="n"/>
      <c r="D18" s="9" t="n"/>
      <c r="E18" s="9" t="inlineStr"/>
    </row>
    <row r="20">
      <c r="A20" s="14" t="inlineStr">
        <is>
          <t>Summe</t>
        </is>
      </c>
      <c r="B20" s="23">
        <f>SUM(B5:B18)</f>
        <v/>
      </c>
      <c r="C20" s="23">
        <f>SUM(C5:C18)</f>
        <v/>
      </c>
    </row>
  </sheetData>
  <dataValidations count="1">
    <dataValidation sqref="D5:D18" showDropDown="0" showInputMessage="0" showErrorMessage="0" allowBlank="1" type="list">
      <formula1>"offen,beauftragt,bezahlt"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96A3"/>
    <outlinePr summaryBelow="1" summaryRight="1"/>
    <pageSetUpPr/>
  </sheetPr>
  <dimension ref="A1:I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6" customWidth="1" min="9" max="9"/>
  </cols>
  <sheetData>
    <row r="1">
      <c r="A1" s="6" t="inlineStr">
        <is>
          <t>VALIOUX · Sponsoren-Pipeline</t>
        </is>
      </c>
    </row>
    <row r="2">
      <c r="A2" s="5" t="inlineStr">
        <is>
          <t>Gelb = Eingabe · Grau = Formel (nicht überschreiben)</t>
        </is>
      </c>
    </row>
    <row r="4" ht="32" customHeight="1">
      <c r="A4" s="7" t="inlineStr">
        <is>
          <t>Firma</t>
        </is>
      </c>
      <c r="B4" s="7" t="inlineStr">
        <is>
          <t>Ansprechpartner</t>
        </is>
      </c>
      <c r="C4" s="7" t="inlineStr">
        <is>
          <t>Kontakt</t>
        </is>
      </c>
      <c r="D4" s="7" t="inlineStr">
        <is>
          <t>Phase</t>
        </is>
      </c>
      <c r="E4" s="7" t="inlineStr">
        <is>
          <t>Deal-Wert €</t>
        </is>
      </c>
      <c r="F4" s="7" t="inlineStr">
        <is>
          <t>Wahrscheinlichkeit</t>
        </is>
      </c>
      <c r="G4" s="7" t="inlineStr">
        <is>
          <t>Gewichtet €</t>
        </is>
      </c>
      <c r="H4" s="7" t="inlineStr">
        <is>
          <t>Nächster Schritt am</t>
        </is>
      </c>
      <c r="I4" s="7" t="inlineStr">
        <is>
          <t>Notiz</t>
        </is>
      </c>
    </row>
    <row r="5">
      <c r="A5" s="9" t="n"/>
      <c r="B5" s="9" t="n"/>
      <c r="C5" s="9" t="n"/>
      <c r="D5" s="9" t="n"/>
      <c r="E5" s="11" t="n"/>
      <c r="F5" s="12" t="n"/>
      <c r="G5" s="13">
        <f>IF(E5="","",E5*F5)</f>
        <v/>
      </c>
      <c r="H5" s="10" t="n"/>
      <c r="I5" s="9" t="n"/>
    </row>
    <row r="6">
      <c r="A6" s="9" t="n"/>
      <c r="B6" s="9" t="n"/>
      <c r="C6" s="9" t="n"/>
      <c r="D6" s="9" t="n"/>
      <c r="E6" s="11" t="n"/>
      <c r="F6" s="12" t="n"/>
      <c r="G6" s="13">
        <f>IF(E6="","",E6*F6)</f>
        <v/>
      </c>
      <c r="H6" s="10" t="n"/>
      <c r="I6" s="9" t="n"/>
    </row>
    <row r="7">
      <c r="A7" s="9" t="n"/>
      <c r="B7" s="9" t="n"/>
      <c r="C7" s="9" t="n"/>
      <c r="D7" s="9" t="n"/>
      <c r="E7" s="11" t="n"/>
      <c r="F7" s="12" t="n"/>
      <c r="G7" s="13">
        <f>IF(E7="","",E7*F7)</f>
        <v/>
      </c>
      <c r="H7" s="10" t="n"/>
      <c r="I7" s="9" t="n"/>
    </row>
    <row r="8">
      <c r="A8" s="9" t="n"/>
      <c r="B8" s="9" t="n"/>
      <c r="C8" s="9" t="n"/>
      <c r="D8" s="9" t="n"/>
      <c r="E8" s="11" t="n"/>
      <c r="F8" s="12" t="n"/>
      <c r="G8" s="13">
        <f>IF(E8="","",E8*F8)</f>
        <v/>
      </c>
      <c r="H8" s="10" t="n"/>
      <c r="I8" s="9" t="n"/>
    </row>
    <row r="9">
      <c r="A9" s="9" t="n"/>
      <c r="B9" s="9" t="n"/>
      <c r="C9" s="9" t="n"/>
      <c r="D9" s="9" t="n"/>
      <c r="E9" s="11" t="n"/>
      <c r="F9" s="12" t="n"/>
      <c r="G9" s="13">
        <f>IF(E9="","",E9*F9)</f>
        <v/>
      </c>
      <c r="H9" s="10" t="n"/>
      <c r="I9" s="9" t="n"/>
    </row>
    <row r="10">
      <c r="A10" s="9" t="n"/>
      <c r="B10" s="9" t="n"/>
      <c r="C10" s="9" t="n"/>
      <c r="D10" s="9" t="n"/>
      <c r="E10" s="11" t="n"/>
      <c r="F10" s="12" t="n"/>
      <c r="G10" s="13">
        <f>IF(E10="","",E10*F10)</f>
        <v/>
      </c>
      <c r="H10" s="10" t="n"/>
      <c r="I10" s="9" t="n"/>
    </row>
    <row r="11">
      <c r="A11" s="9" t="n"/>
      <c r="B11" s="9" t="n"/>
      <c r="C11" s="9" t="n"/>
      <c r="D11" s="9" t="n"/>
      <c r="E11" s="11" t="n"/>
      <c r="F11" s="12" t="n"/>
      <c r="G11" s="13">
        <f>IF(E11="","",E11*F11)</f>
        <v/>
      </c>
      <c r="H11" s="10" t="n"/>
      <c r="I11" s="9" t="n"/>
    </row>
    <row r="12">
      <c r="A12" s="9" t="n"/>
      <c r="B12" s="9" t="n"/>
      <c r="C12" s="9" t="n"/>
      <c r="D12" s="9" t="n"/>
      <c r="E12" s="11" t="n"/>
      <c r="F12" s="12" t="n"/>
      <c r="G12" s="13">
        <f>IF(E12="","",E12*F12)</f>
        <v/>
      </c>
      <c r="H12" s="10" t="n"/>
      <c r="I12" s="9" t="n"/>
    </row>
    <row r="13">
      <c r="A13" s="9" t="n"/>
      <c r="B13" s="9" t="n"/>
      <c r="C13" s="9" t="n"/>
      <c r="D13" s="9" t="n"/>
      <c r="E13" s="11" t="n"/>
      <c r="F13" s="12" t="n"/>
      <c r="G13" s="13">
        <f>IF(E13="","",E13*F13)</f>
        <v/>
      </c>
      <c r="H13" s="10" t="n"/>
      <c r="I13" s="9" t="n"/>
    </row>
    <row r="14">
      <c r="A14" s="9" t="n"/>
      <c r="B14" s="9" t="n"/>
      <c r="C14" s="9" t="n"/>
      <c r="D14" s="9" t="n"/>
      <c r="E14" s="11" t="n"/>
      <c r="F14" s="12" t="n"/>
      <c r="G14" s="13">
        <f>IF(E14="","",E14*F14)</f>
        <v/>
      </c>
      <c r="H14" s="10" t="n"/>
      <c r="I14" s="9" t="n"/>
    </row>
    <row r="15">
      <c r="A15" s="9" t="n"/>
      <c r="B15" s="9" t="n"/>
      <c r="C15" s="9" t="n"/>
      <c r="D15" s="9" t="n"/>
      <c r="E15" s="11" t="n"/>
      <c r="F15" s="12" t="n"/>
      <c r="G15" s="13">
        <f>IF(E15="","",E15*F15)</f>
        <v/>
      </c>
      <c r="H15" s="10" t="n"/>
      <c r="I15" s="9" t="n"/>
    </row>
    <row r="16">
      <c r="A16" s="9" t="n"/>
      <c r="B16" s="9" t="n"/>
      <c r="C16" s="9" t="n"/>
      <c r="D16" s="9" t="n"/>
      <c r="E16" s="11" t="n"/>
      <c r="F16" s="12" t="n"/>
      <c r="G16" s="13">
        <f>IF(E16="","",E16*F16)</f>
        <v/>
      </c>
      <c r="H16" s="10" t="n"/>
      <c r="I16" s="9" t="n"/>
    </row>
    <row r="17">
      <c r="A17" s="9" t="n"/>
      <c r="B17" s="9" t="n"/>
      <c r="C17" s="9" t="n"/>
      <c r="D17" s="9" t="n"/>
      <c r="E17" s="11" t="n"/>
      <c r="F17" s="12" t="n"/>
      <c r="G17" s="13">
        <f>IF(E17="","",E17*F17)</f>
        <v/>
      </c>
      <c r="H17" s="10" t="n"/>
      <c r="I17" s="9" t="n"/>
    </row>
    <row r="18">
      <c r="A18" s="9" t="n"/>
      <c r="B18" s="9" t="n"/>
      <c r="C18" s="9" t="n"/>
      <c r="D18" s="9" t="n"/>
      <c r="E18" s="11" t="n"/>
      <c r="F18" s="12" t="n"/>
      <c r="G18" s="13">
        <f>IF(E18="","",E18*F18)</f>
        <v/>
      </c>
      <c r="H18" s="10" t="n"/>
      <c r="I18" s="9" t="n"/>
    </row>
    <row r="19">
      <c r="A19" s="9" t="n"/>
      <c r="B19" s="9" t="n"/>
      <c r="C19" s="9" t="n"/>
      <c r="D19" s="9" t="n"/>
      <c r="E19" s="11" t="n"/>
      <c r="F19" s="12" t="n"/>
      <c r="G19" s="13">
        <f>IF(E19="","",E19*F19)</f>
        <v/>
      </c>
      <c r="H19" s="10" t="n"/>
      <c r="I19" s="9" t="n"/>
    </row>
    <row r="20">
      <c r="A20" s="9" t="n"/>
      <c r="B20" s="9" t="n"/>
      <c r="C20" s="9" t="n"/>
      <c r="D20" s="9" t="n"/>
      <c r="E20" s="11" t="n"/>
      <c r="F20" s="12" t="n"/>
      <c r="G20" s="13">
        <f>IF(E20="","",E20*F20)</f>
        <v/>
      </c>
      <c r="H20" s="10" t="n"/>
      <c r="I20" s="9" t="n"/>
    </row>
    <row r="21">
      <c r="A21" s="9" t="n"/>
      <c r="B21" s="9" t="n"/>
      <c r="C21" s="9" t="n"/>
      <c r="D21" s="9" t="n"/>
      <c r="E21" s="11" t="n"/>
      <c r="F21" s="12" t="n"/>
      <c r="G21" s="13">
        <f>IF(E21="","",E21*F21)</f>
        <v/>
      </c>
      <c r="H21" s="10" t="n"/>
      <c r="I21" s="9" t="n"/>
    </row>
    <row r="22">
      <c r="A22" s="9" t="n"/>
      <c r="B22" s="9" t="n"/>
      <c r="C22" s="9" t="n"/>
      <c r="D22" s="9" t="n"/>
      <c r="E22" s="11" t="n"/>
      <c r="F22" s="12" t="n"/>
      <c r="G22" s="13">
        <f>IF(E22="","",E22*F22)</f>
        <v/>
      </c>
      <c r="H22" s="10" t="n"/>
      <c r="I22" s="9" t="n"/>
    </row>
    <row r="23">
      <c r="A23" s="9" t="n"/>
      <c r="B23" s="9" t="n"/>
      <c r="C23" s="9" t="n"/>
      <c r="D23" s="9" t="n"/>
      <c r="E23" s="11" t="n"/>
      <c r="F23" s="12" t="n"/>
      <c r="G23" s="13">
        <f>IF(E23="","",E23*F23)</f>
        <v/>
      </c>
      <c r="H23" s="10" t="n"/>
      <c r="I23" s="9" t="n"/>
    </row>
    <row r="24">
      <c r="A24" s="9" t="n"/>
      <c r="B24" s="9" t="n"/>
      <c r="C24" s="9" t="n"/>
      <c r="D24" s="9" t="n"/>
      <c r="E24" s="11" t="n"/>
      <c r="F24" s="12" t="n"/>
      <c r="G24" s="13">
        <f>IF(E24="","",E24*F24)</f>
        <v/>
      </c>
      <c r="H24" s="10" t="n"/>
      <c r="I24" s="9" t="n"/>
    </row>
    <row r="25">
      <c r="A25" s="9" t="n"/>
      <c r="B25" s="9" t="n"/>
      <c r="C25" s="9" t="n"/>
      <c r="D25" s="9" t="n"/>
      <c r="E25" s="11" t="n"/>
      <c r="F25" s="12" t="n"/>
      <c r="G25" s="13">
        <f>IF(E25="","",E25*F25)</f>
        <v/>
      </c>
      <c r="H25" s="10" t="n"/>
      <c r="I25" s="9" t="n"/>
    </row>
    <row r="26">
      <c r="A26" s="9" t="n"/>
      <c r="B26" s="9" t="n"/>
      <c r="C26" s="9" t="n"/>
      <c r="D26" s="9" t="n"/>
      <c r="E26" s="11" t="n"/>
      <c r="F26" s="12" t="n"/>
      <c r="G26" s="13">
        <f>IF(E26="","",E26*F26)</f>
        <v/>
      </c>
      <c r="H26" s="10" t="n"/>
      <c r="I26" s="9" t="n"/>
    </row>
    <row r="27">
      <c r="A27" s="9" t="n"/>
      <c r="B27" s="9" t="n"/>
      <c r="C27" s="9" t="n"/>
      <c r="D27" s="9" t="n"/>
      <c r="E27" s="11" t="n"/>
      <c r="F27" s="12" t="n"/>
      <c r="G27" s="13">
        <f>IF(E27="","",E27*F27)</f>
        <v/>
      </c>
      <c r="H27" s="10" t="n"/>
      <c r="I27" s="9" t="n"/>
    </row>
    <row r="28">
      <c r="A28" s="9" t="n"/>
      <c r="B28" s="9" t="n"/>
      <c r="C28" s="9" t="n"/>
      <c r="D28" s="9" t="n"/>
      <c r="E28" s="11" t="n"/>
      <c r="F28" s="12" t="n"/>
      <c r="G28" s="13">
        <f>IF(E28="","",E28*F28)</f>
        <v/>
      </c>
      <c r="H28" s="10" t="n"/>
      <c r="I28" s="9" t="n"/>
    </row>
    <row r="29">
      <c r="A29" s="9" t="n"/>
      <c r="B29" s="9" t="n"/>
      <c r="C29" s="9" t="n"/>
      <c r="D29" s="9" t="n"/>
      <c r="E29" s="11" t="n"/>
      <c r="F29" s="12" t="n"/>
      <c r="G29" s="13">
        <f>IF(E29="","",E29*F29)</f>
        <v/>
      </c>
      <c r="H29" s="10" t="n"/>
      <c r="I29" s="9" t="n"/>
    </row>
    <row r="30">
      <c r="A30" s="9" t="n"/>
      <c r="B30" s="9" t="n"/>
      <c r="C30" s="9" t="n"/>
      <c r="D30" s="9" t="n"/>
      <c r="E30" s="11" t="n"/>
      <c r="F30" s="12" t="n"/>
      <c r="G30" s="13">
        <f>IF(E30="","",E30*F30)</f>
        <v/>
      </c>
      <c r="H30" s="10" t="n"/>
      <c r="I30" s="9" t="n"/>
    </row>
    <row r="31">
      <c r="A31" s="9" t="n"/>
      <c r="B31" s="9" t="n"/>
      <c r="C31" s="9" t="n"/>
      <c r="D31" s="9" t="n"/>
      <c r="E31" s="11" t="n"/>
      <c r="F31" s="12" t="n"/>
      <c r="G31" s="13">
        <f>IF(E31="","",E31*F31)</f>
        <v/>
      </c>
      <c r="H31" s="10" t="n"/>
      <c r="I31" s="9" t="n"/>
    </row>
    <row r="32">
      <c r="A32" s="9" t="n"/>
      <c r="B32" s="9" t="n"/>
      <c r="C32" s="9" t="n"/>
      <c r="D32" s="9" t="n"/>
      <c r="E32" s="11" t="n"/>
      <c r="F32" s="12" t="n"/>
      <c r="G32" s="13">
        <f>IF(E32="","",E32*F32)</f>
        <v/>
      </c>
      <c r="H32" s="10" t="n"/>
      <c r="I32" s="9" t="n"/>
    </row>
    <row r="33">
      <c r="A33" s="9" t="n"/>
      <c r="B33" s="9" t="n"/>
      <c r="C33" s="9" t="n"/>
      <c r="D33" s="9" t="n"/>
      <c r="E33" s="11" t="n"/>
      <c r="F33" s="12" t="n"/>
      <c r="G33" s="13">
        <f>IF(E33="","",E33*F33)</f>
        <v/>
      </c>
      <c r="H33" s="10" t="n"/>
      <c r="I33" s="9" t="n"/>
    </row>
    <row r="34">
      <c r="A34" s="9" t="n"/>
      <c r="B34" s="9" t="n"/>
      <c r="C34" s="9" t="n"/>
      <c r="D34" s="9" t="n"/>
      <c r="E34" s="11" t="n"/>
      <c r="F34" s="12" t="n"/>
      <c r="G34" s="13">
        <f>IF(E34="","",E34*F34)</f>
        <v/>
      </c>
      <c r="H34" s="10" t="n"/>
      <c r="I34" s="9" t="n"/>
    </row>
    <row r="35">
      <c r="A35" s="9" t="n"/>
      <c r="B35" s="9" t="n"/>
      <c r="C35" s="9" t="n"/>
      <c r="D35" s="9" t="n"/>
      <c r="E35" s="11" t="n"/>
      <c r="F35" s="12" t="n"/>
      <c r="G35" s="13">
        <f>IF(E35="","",E35*F35)</f>
        <v/>
      </c>
      <c r="H35" s="10" t="n"/>
      <c r="I35" s="9" t="n"/>
    </row>
    <row r="36">
      <c r="A36" s="9" t="n"/>
      <c r="B36" s="9" t="n"/>
      <c r="C36" s="9" t="n"/>
      <c r="D36" s="9" t="n"/>
      <c r="E36" s="11" t="n"/>
      <c r="F36" s="12" t="n"/>
      <c r="G36" s="13">
        <f>IF(E36="","",E36*F36)</f>
        <v/>
      </c>
      <c r="H36" s="10" t="n"/>
      <c r="I36" s="9" t="n"/>
    </row>
    <row r="37">
      <c r="A37" s="9" t="n"/>
      <c r="B37" s="9" t="n"/>
      <c r="C37" s="9" t="n"/>
      <c r="D37" s="9" t="n"/>
      <c r="E37" s="11" t="n"/>
      <c r="F37" s="12" t="n"/>
      <c r="G37" s="13">
        <f>IF(E37="","",E37*F37)</f>
        <v/>
      </c>
      <c r="H37" s="10" t="n"/>
      <c r="I37" s="9" t="n"/>
    </row>
    <row r="38">
      <c r="A38" s="9" t="n"/>
      <c r="B38" s="9" t="n"/>
      <c r="C38" s="9" t="n"/>
      <c r="D38" s="9" t="n"/>
      <c r="E38" s="11" t="n"/>
      <c r="F38" s="12" t="n"/>
      <c r="G38" s="13">
        <f>IF(E38="","",E38*F38)</f>
        <v/>
      </c>
      <c r="H38" s="10" t="n"/>
      <c r="I38" s="9" t="n"/>
    </row>
    <row r="39">
      <c r="A39" s="9" t="n"/>
      <c r="B39" s="9" t="n"/>
      <c r="C39" s="9" t="n"/>
      <c r="D39" s="9" t="n"/>
      <c r="E39" s="11" t="n"/>
      <c r="F39" s="12" t="n"/>
      <c r="G39" s="13">
        <f>IF(E39="","",E39*F39)</f>
        <v/>
      </c>
      <c r="H39" s="10" t="n"/>
      <c r="I39" s="9" t="n"/>
    </row>
    <row r="40">
      <c r="A40" s="9" t="n"/>
      <c r="B40" s="9" t="n"/>
      <c r="C40" s="9" t="n"/>
      <c r="D40" s="9" t="n"/>
      <c r="E40" s="11" t="n"/>
      <c r="F40" s="12" t="n"/>
      <c r="G40" s="13">
        <f>IF(E40="","",E40*F40)</f>
        <v/>
      </c>
      <c r="H40" s="10" t="n"/>
      <c r="I40" s="9" t="n"/>
    </row>
    <row r="41">
      <c r="A41" s="9" t="n"/>
      <c r="B41" s="9" t="n"/>
      <c r="C41" s="9" t="n"/>
      <c r="D41" s="9" t="n"/>
      <c r="E41" s="11" t="n"/>
      <c r="F41" s="12" t="n"/>
      <c r="G41" s="13">
        <f>IF(E41="","",E41*F41)</f>
        <v/>
      </c>
      <c r="H41" s="10" t="n"/>
      <c r="I41" s="9" t="n"/>
    </row>
    <row r="42">
      <c r="A42" s="9" t="n"/>
      <c r="B42" s="9" t="n"/>
      <c r="C42" s="9" t="n"/>
      <c r="D42" s="9" t="n"/>
      <c r="E42" s="11" t="n"/>
      <c r="F42" s="12" t="n"/>
      <c r="G42" s="13">
        <f>IF(E42="","",E42*F42)</f>
        <v/>
      </c>
      <c r="H42" s="10" t="n"/>
      <c r="I42" s="9" t="n"/>
    </row>
    <row r="43">
      <c r="A43" s="9" t="n"/>
      <c r="B43" s="9" t="n"/>
      <c r="C43" s="9" t="n"/>
      <c r="D43" s="9" t="n"/>
      <c r="E43" s="11" t="n"/>
      <c r="F43" s="12" t="n"/>
      <c r="G43" s="13">
        <f>IF(E43="","",E43*F43)</f>
        <v/>
      </c>
      <c r="H43" s="10" t="n"/>
      <c r="I43" s="9" t="n"/>
    </row>
    <row r="44">
      <c r="A44" s="9" t="n"/>
      <c r="B44" s="9" t="n"/>
      <c r="C44" s="9" t="n"/>
      <c r="D44" s="9" t="n"/>
      <c r="E44" s="11" t="n"/>
      <c r="F44" s="12" t="n"/>
      <c r="G44" s="13">
        <f>IF(E44="","",E44*F44)</f>
        <v/>
      </c>
      <c r="H44" s="10" t="n"/>
      <c r="I44" s="9" t="n"/>
    </row>
    <row r="46">
      <c r="A46" t="inlineStr">
        <is>
          <t>Pipeline gesamt</t>
        </is>
      </c>
      <c r="E46" s="15">
        <f>SUM(E5:E44)</f>
        <v/>
      </c>
      <c r="G46" s="15">
        <f>SUM(G5:G44)</f>
        <v/>
      </c>
    </row>
    <row r="47">
      <c r="A47" t="inlineStr">
        <is>
          <t>Zugesagt</t>
        </is>
      </c>
      <c r="E47" s="15">
        <f>SUMIF(D5:D44,"Zugesagt",E5:E44)</f>
        <v/>
      </c>
    </row>
  </sheetData>
  <dataValidations count="1">
    <dataValidation sqref="D5:D44" showDropDown="0" showInputMessage="0" showErrorMessage="0" allowBlank="1" type="list">
      <formula1>"Lead,Kontaktiert,Gespräch,Angebot,Verhandlung,Zugesagt,Abgelehnt"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E96A3"/>
    <outlinePr summaryBelow="1" summaryRight="1"/>
    <pageSetUpPr/>
  </sheetPr>
  <dimension ref="A1:I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6" customWidth="1" min="4" max="4"/>
    <col width="14" customWidth="1" min="5" max="5"/>
    <col width="12" customWidth="1" min="6" max="6"/>
    <col width="14" customWidth="1" min="7" max="7"/>
    <col width="14" customWidth="1" min="8" max="8"/>
    <col width="34" customWidth="1" min="9" max="9"/>
  </cols>
  <sheetData>
    <row r="1">
      <c r="A1" s="6" t="inlineStr">
        <is>
          <t>VALIOUX · Investoren-Tracker</t>
        </is>
      </c>
    </row>
    <row r="2">
      <c r="A2" s="5" t="inlineStr">
        <is>
          <t>Gelb = Eingabe · Grau = Formel (nicht überschreiben)</t>
        </is>
      </c>
    </row>
    <row r="4" ht="32" customHeight="1">
      <c r="A4" s="7" t="inlineStr">
        <is>
          <t>Investor</t>
        </is>
      </c>
      <c r="B4" s="7" t="inlineStr">
        <is>
          <t>Ansprechpartner</t>
        </is>
      </c>
      <c r="C4" s="7" t="inlineStr">
        <is>
          <t>Kontakt</t>
        </is>
      </c>
      <c r="D4" s="7" t="inlineStr">
        <is>
          <t>Phase</t>
        </is>
      </c>
      <c r="E4" s="7" t="inlineStr">
        <is>
          <t>Summe €</t>
        </is>
      </c>
      <c r="F4" s="7" t="inlineStr">
        <is>
          <t>Anteil %</t>
        </is>
      </c>
      <c r="G4" s="7" t="inlineStr">
        <is>
          <t>Pre-Money €</t>
        </is>
      </c>
      <c r="H4" s="7" t="inlineStr">
        <is>
          <t>Nächster Schritt am</t>
        </is>
      </c>
      <c r="I4" s="7" t="inlineStr">
        <is>
          <t>Notiz</t>
        </is>
      </c>
    </row>
    <row r="5">
      <c r="A5" s="9" t="n"/>
      <c r="B5" s="9" t="n"/>
      <c r="C5" s="9" t="n"/>
      <c r="D5" s="9" t="n"/>
      <c r="E5" s="11" t="n"/>
      <c r="F5" s="12" t="n"/>
      <c r="G5" s="11" t="n"/>
      <c r="H5" s="10" t="n"/>
      <c r="I5" s="9" t="n"/>
    </row>
    <row r="6">
      <c r="A6" s="9" t="n"/>
      <c r="B6" s="9" t="n"/>
      <c r="C6" s="9" t="n"/>
      <c r="D6" s="9" t="n"/>
      <c r="E6" s="11" t="n"/>
      <c r="F6" s="12" t="n"/>
      <c r="G6" s="11" t="n"/>
      <c r="H6" s="10" t="n"/>
      <c r="I6" s="9" t="n"/>
    </row>
    <row r="7">
      <c r="A7" s="9" t="n"/>
      <c r="B7" s="9" t="n"/>
      <c r="C7" s="9" t="n"/>
      <c r="D7" s="9" t="n"/>
      <c r="E7" s="11" t="n"/>
      <c r="F7" s="12" t="n"/>
      <c r="G7" s="11" t="n"/>
      <c r="H7" s="10" t="n"/>
      <c r="I7" s="9" t="n"/>
    </row>
    <row r="8">
      <c r="A8" s="9" t="n"/>
      <c r="B8" s="9" t="n"/>
      <c r="C8" s="9" t="n"/>
      <c r="D8" s="9" t="n"/>
      <c r="E8" s="11" t="n"/>
      <c r="F8" s="12" t="n"/>
      <c r="G8" s="11" t="n"/>
      <c r="H8" s="10" t="n"/>
      <c r="I8" s="9" t="n"/>
    </row>
    <row r="9">
      <c r="A9" s="9" t="n"/>
      <c r="B9" s="9" t="n"/>
      <c r="C9" s="9" t="n"/>
      <c r="D9" s="9" t="n"/>
      <c r="E9" s="11" t="n"/>
      <c r="F9" s="12" t="n"/>
      <c r="G9" s="11" t="n"/>
      <c r="H9" s="10" t="n"/>
      <c r="I9" s="9" t="n"/>
    </row>
    <row r="10">
      <c r="A10" s="9" t="n"/>
      <c r="B10" s="9" t="n"/>
      <c r="C10" s="9" t="n"/>
      <c r="D10" s="9" t="n"/>
      <c r="E10" s="11" t="n"/>
      <c r="F10" s="12" t="n"/>
      <c r="G10" s="11" t="n"/>
      <c r="H10" s="10" t="n"/>
      <c r="I10" s="9" t="n"/>
    </row>
    <row r="11">
      <c r="A11" s="9" t="n"/>
      <c r="B11" s="9" t="n"/>
      <c r="C11" s="9" t="n"/>
      <c r="D11" s="9" t="n"/>
      <c r="E11" s="11" t="n"/>
      <c r="F11" s="12" t="n"/>
      <c r="G11" s="11" t="n"/>
      <c r="H11" s="10" t="n"/>
      <c r="I11" s="9" t="n"/>
    </row>
    <row r="12">
      <c r="A12" s="9" t="n"/>
      <c r="B12" s="9" t="n"/>
      <c r="C12" s="9" t="n"/>
      <c r="D12" s="9" t="n"/>
      <c r="E12" s="11" t="n"/>
      <c r="F12" s="12" t="n"/>
      <c r="G12" s="11" t="n"/>
      <c r="H12" s="10" t="n"/>
      <c r="I12" s="9" t="n"/>
    </row>
    <row r="13">
      <c r="A13" s="9" t="n"/>
      <c r="B13" s="9" t="n"/>
      <c r="C13" s="9" t="n"/>
      <c r="D13" s="9" t="n"/>
      <c r="E13" s="11" t="n"/>
      <c r="F13" s="12" t="n"/>
      <c r="G13" s="11" t="n"/>
      <c r="H13" s="10" t="n"/>
      <c r="I13" s="9" t="n"/>
    </row>
    <row r="14">
      <c r="A14" s="9" t="n"/>
      <c r="B14" s="9" t="n"/>
      <c r="C14" s="9" t="n"/>
      <c r="D14" s="9" t="n"/>
      <c r="E14" s="11" t="n"/>
      <c r="F14" s="12" t="n"/>
      <c r="G14" s="11" t="n"/>
      <c r="H14" s="10" t="n"/>
      <c r="I14" s="9" t="n"/>
    </row>
    <row r="15">
      <c r="A15" s="9" t="n"/>
      <c r="B15" s="9" t="n"/>
      <c r="C15" s="9" t="n"/>
      <c r="D15" s="9" t="n"/>
      <c r="E15" s="11" t="n"/>
      <c r="F15" s="12" t="n"/>
      <c r="G15" s="11" t="n"/>
      <c r="H15" s="10" t="n"/>
      <c r="I15" s="9" t="n"/>
    </row>
    <row r="16">
      <c r="A16" s="9" t="n"/>
      <c r="B16" s="9" t="n"/>
      <c r="C16" s="9" t="n"/>
      <c r="D16" s="9" t="n"/>
      <c r="E16" s="11" t="n"/>
      <c r="F16" s="12" t="n"/>
      <c r="G16" s="11" t="n"/>
      <c r="H16" s="10" t="n"/>
      <c r="I16" s="9" t="n"/>
    </row>
    <row r="17">
      <c r="A17" s="9" t="n"/>
      <c r="B17" s="9" t="n"/>
      <c r="C17" s="9" t="n"/>
      <c r="D17" s="9" t="n"/>
      <c r="E17" s="11" t="n"/>
      <c r="F17" s="12" t="n"/>
      <c r="G17" s="11" t="n"/>
      <c r="H17" s="10" t="n"/>
      <c r="I17" s="9" t="n"/>
    </row>
    <row r="18">
      <c r="A18" s="9" t="n"/>
      <c r="B18" s="9" t="n"/>
      <c r="C18" s="9" t="n"/>
      <c r="D18" s="9" t="n"/>
      <c r="E18" s="11" t="n"/>
      <c r="F18" s="12" t="n"/>
      <c r="G18" s="11" t="n"/>
      <c r="H18" s="10" t="n"/>
      <c r="I18" s="9" t="n"/>
    </row>
    <row r="19">
      <c r="A19" s="9" t="n"/>
      <c r="B19" s="9" t="n"/>
      <c r="C19" s="9" t="n"/>
      <c r="D19" s="9" t="n"/>
      <c r="E19" s="11" t="n"/>
      <c r="F19" s="12" t="n"/>
      <c r="G19" s="11" t="n"/>
      <c r="H19" s="10" t="n"/>
      <c r="I19" s="9" t="n"/>
    </row>
    <row r="20">
      <c r="A20" s="9" t="n"/>
      <c r="B20" s="9" t="n"/>
      <c r="C20" s="9" t="n"/>
      <c r="D20" s="9" t="n"/>
      <c r="E20" s="11" t="n"/>
      <c r="F20" s="12" t="n"/>
      <c r="G20" s="11" t="n"/>
      <c r="H20" s="10" t="n"/>
      <c r="I20" s="9" t="n"/>
    </row>
    <row r="21">
      <c r="A21" s="9" t="n"/>
      <c r="B21" s="9" t="n"/>
      <c r="C21" s="9" t="n"/>
      <c r="D21" s="9" t="n"/>
      <c r="E21" s="11" t="n"/>
      <c r="F21" s="12" t="n"/>
      <c r="G21" s="11" t="n"/>
      <c r="H21" s="10" t="n"/>
      <c r="I21" s="9" t="n"/>
    </row>
    <row r="22">
      <c r="A22" s="9" t="n"/>
      <c r="B22" s="9" t="n"/>
      <c r="C22" s="9" t="n"/>
      <c r="D22" s="9" t="n"/>
      <c r="E22" s="11" t="n"/>
      <c r="F22" s="12" t="n"/>
      <c r="G22" s="11" t="n"/>
      <c r="H22" s="10" t="n"/>
      <c r="I22" s="9" t="n"/>
    </row>
    <row r="23">
      <c r="A23" s="9" t="n"/>
      <c r="B23" s="9" t="n"/>
      <c r="C23" s="9" t="n"/>
      <c r="D23" s="9" t="n"/>
      <c r="E23" s="11" t="n"/>
      <c r="F23" s="12" t="n"/>
      <c r="G23" s="11" t="n"/>
      <c r="H23" s="10" t="n"/>
      <c r="I23" s="9" t="n"/>
    </row>
    <row r="24">
      <c r="A24" s="9" t="n"/>
      <c r="B24" s="9" t="n"/>
      <c r="C24" s="9" t="n"/>
      <c r="D24" s="9" t="n"/>
      <c r="E24" s="11" t="n"/>
      <c r="F24" s="12" t="n"/>
      <c r="G24" s="11" t="n"/>
      <c r="H24" s="10" t="n"/>
      <c r="I24" s="9" t="n"/>
    </row>
    <row r="26">
      <c r="A26" t="inlineStr">
        <is>
          <t>Eingezahlt gesamt</t>
        </is>
      </c>
      <c r="E26" s="15">
        <f>SUMIF(D5:D24,"Eingezahlt",E5:E24)</f>
        <v/>
      </c>
    </row>
    <row r="27">
      <c r="A27" t="inlineStr">
        <is>
          <t>Verbleibende Anteile Gründer</t>
        </is>
      </c>
      <c r="F27" s="24">
        <f>1-SUMIF(D5:D24,"Eingezahlt",F5:F24)</f>
        <v/>
      </c>
    </row>
  </sheetData>
  <dataValidations count="1">
    <dataValidation sqref="D5:D24" showDropDown="0" showInputMessage="0" showErrorMessage="0" allowBlank="1" type="list">
      <formula1>"Lead,Pitch,Due Diligence,Term Sheet,Vertrag,Eingezahlt,Abgelehnt"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96A3"/>
    <outlinePr summaryBelow="1" summaryRight="1"/>
    <pageSetUpPr/>
  </sheetPr>
  <dimension ref="A1:I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28" customWidth="1" min="9" max="9"/>
  </cols>
  <sheetData>
    <row r="1">
      <c r="A1" s="6" t="inlineStr">
        <is>
          <t>VALIOUX · Vertrags-Tracker mit Ablauf-Warnung</t>
        </is>
      </c>
    </row>
    <row r="2">
      <c r="A2" s="5" t="inlineStr">
        <is>
          <t>Gelb = Eingabe · Grau = Formel (nicht überschreiben)</t>
        </is>
      </c>
    </row>
    <row r="4" ht="32" customHeight="1">
      <c r="A4" s="7" t="inlineStr">
        <is>
          <t>Nr.</t>
        </is>
      </c>
      <c r="B4" s="7" t="inlineStr">
        <is>
          <t>Partner</t>
        </is>
      </c>
      <c r="C4" s="7" t="inlineStr">
        <is>
          <t>Typ</t>
        </is>
      </c>
      <c r="D4" s="7" t="inlineStr">
        <is>
          <t>Beginn</t>
        </is>
      </c>
      <c r="E4" s="7" t="inlineStr">
        <is>
          <t>Ende</t>
        </is>
      </c>
      <c r="F4" s="7" t="inlineStr">
        <is>
          <t>Tage bis Ablauf</t>
        </is>
      </c>
      <c r="G4" s="7" t="inlineStr">
        <is>
          <t>Warnung</t>
        </is>
      </c>
      <c r="H4" s="7" t="inlineStr">
        <is>
          <t>Wert €</t>
        </is>
      </c>
      <c r="I4" s="7" t="inlineStr">
        <is>
          <t>Dokument-Link / Notiz</t>
        </is>
      </c>
    </row>
    <row r="5">
      <c r="A5" s="9" t="n"/>
      <c r="B5" s="9" t="n"/>
      <c r="C5" s="9" t="n"/>
      <c r="D5" s="10" t="n"/>
      <c r="E5" s="10" t="n"/>
      <c r="F5" s="8">
        <f>IF(E5="","",E5-TODAY())</f>
        <v/>
      </c>
      <c r="G5" s="8">
        <f>IF(E5="","",IF(F5&lt;0,"ABGELAUFEN",IF(F5&lt;=90,"bald fällig","ok")))</f>
        <v/>
      </c>
      <c r="H5" s="11" t="n"/>
      <c r="I5" s="9" t="n"/>
    </row>
    <row r="6">
      <c r="A6" s="9" t="n"/>
      <c r="B6" s="9" t="n"/>
      <c r="C6" s="9" t="n"/>
      <c r="D6" s="10" t="n"/>
      <c r="E6" s="10" t="n"/>
      <c r="F6" s="8">
        <f>IF(E6="","",E6-TODAY())</f>
        <v/>
      </c>
      <c r="G6" s="8">
        <f>IF(E6="","",IF(F6&lt;0,"ABGELAUFEN",IF(F6&lt;=90,"bald fällig","ok")))</f>
        <v/>
      </c>
      <c r="H6" s="11" t="n"/>
      <c r="I6" s="9" t="n"/>
    </row>
    <row r="7">
      <c r="A7" s="9" t="n"/>
      <c r="B7" s="9" t="n"/>
      <c r="C7" s="9" t="n"/>
      <c r="D7" s="10" t="n"/>
      <c r="E7" s="10" t="n"/>
      <c r="F7" s="8">
        <f>IF(E7="","",E7-TODAY())</f>
        <v/>
      </c>
      <c r="G7" s="8">
        <f>IF(E7="","",IF(F7&lt;0,"ABGELAUFEN",IF(F7&lt;=90,"bald fällig","ok")))</f>
        <v/>
      </c>
      <c r="H7" s="11" t="n"/>
      <c r="I7" s="9" t="n"/>
    </row>
    <row r="8">
      <c r="A8" s="9" t="n"/>
      <c r="B8" s="9" t="n"/>
      <c r="C8" s="9" t="n"/>
      <c r="D8" s="10" t="n"/>
      <c r="E8" s="10" t="n"/>
      <c r="F8" s="8">
        <f>IF(E8="","",E8-TODAY())</f>
        <v/>
      </c>
      <c r="G8" s="8">
        <f>IF(E8="","",IF(F8&lt;0,"ABGELAUFEN",IF(F8&lt;=90,"bald fällig","ok")))</f>
        <v/>
      </c>
      <c r="H8" s="11" t="n"/>
      <c r="I8" s="9" t="n"/>
    </row>
    <row r="9">
      <c r="A9" s="9" t="n"/>
      <c r="B9" s="9" t="n"/>
      <c r="C9" s="9" t="n"/>
      <c r="D9" s="10" t="n"/>
      <c r="E9" s="10" t="n"/>
      <c r="F9" s="8">
        <f>IF(E9="","",E9-TODAY())</f>
        <v/>
      </c>
      <c r="G9" s="8">
        <f>IF(E9="","",IF(F9&lt;0,"ABGELAUFEN",IF(F9&lt;=90,"bald fällig","ok")))</f>
        <v/>
      </c>
      <c r="H9" s="11" t="n"/>
      <c r="I9" s="9" t="n"/>
    </row>
    <row r="10">
      <c r="A10" s="9" t="n"/>
      <c r="B10" s="9" t="n"/>
      <c r="C10" s="9" t="n"/>
      <c r="D10" s="10" t="n"/>
      <c r="E10" s="10" t="n"/>
      <c r="F10" s="8">
        <f>IF(E10="","",E10-TODAY())</f>
        <v/>
      </c>
      <c r="G10" s="8">
        <f>IF(E10="","",IF(F10&lt;0,"ABGELAUFEN",IF(F10&lt;=90,"bald fällig","ok")))</f>
        <v/>
      </c>
      <c r="H10" s="11" t="n"/>
      <c r="I10" s="9" t="n"/>
    </row>
    <row r="11">
      <c r="A11" s="9" t="n"/>
      <c r="B11" s="9" t="n"/>
      <c r="C11" s="9" t="n"/>
      <c r="D11" s="10" t="n"/>
      <c r="E11" s="10" t="n"/>
      <c r="F11" s="8">
        <f>IF(E11="","",E11-TODAY())</f>
        <v/>
      </c>
      <c r="G11" s="8">
        <f>IF(E11="","",IF(F11&lt;0,"ABGELAUFEN",IF(F11&lt;=90,"bald fällig","ok")))</f>
        <v/>
      </c>
      <c r="H11" s="11" t="n"/>
      <c r="I11" s="9" t="n"/>
    </row>
    <row r="12">
      <c r="A12" s="9" t="n"/>
      <c r="B12" s="9" t="n"/>
      <c r="C12" s="9" t="n"/>
      <c r="D12" s="10" t="n"/>
      <c r="E12" s="10" t="n"/>
      <c r="F12" s="8">
        <f>IF(E12="","",E12-TODAY())</f>
        <v/>
      </c>
      <c r="G12" s="8">
        <f>IF(E12="","",IF(F12&lt;0,"ABGELAUFEN",IF(F12&lt;=90,"bald fällig","ok")))</f>
        <v/>
      </c>
      <c r="H12" s="11" t="n"/>
      <c r="I12" s="9" t="n"/>
    </row>
    <row r="13">
      <c r="A13" s="9" t="n"/>
      <c r="B13" s="9" t="n"/>
      <c r="C13" s="9" t="n"/>
      <c r="D13" s="10" t="n"/>
      <c r="E13" s="10" t="n"/>
      <c r="F13" s="8">
        <f>IF(E13="","",E13-TODAY())</f>
        <v/>
      </c>
      <c r="G13" s="8">
        <f>IF(E13="","",IF(F13&lt;0,"ABGELAUFEN",IF(F13&lt;=90,"bald fällig","ok")))</f>
        <v/>
      </c>
      <c r="H13" s="11" t="n"/>
      <c r="I13" s="9" t="n"/>
    </row>
    <row r="14">
      <c r="A14" s="9" t="n"/>
      <c r="B14" s="9" t="n"/>
      <c r="C14" s="9" t="n"/>
      <c r="D14" s="10" t="n"/>
      <c r="E14" s="10" t="n"/>
      <c r="F14" s="8">
        <f>IF(E14="","",E14-TODAY())</f>
        <v/>
      </c>
      <c r="G14" s="8">
        <f>IF(E14="","",IF(F14&lt;0,"ABGELAUFEN",IF(F14&lt;=90,"bald fällig","ok")))</f>
        <v/>
      </c>
      <c r="H14" s="11" t="n"/>
      <c r="I14" s="9" t="n"/>
    </row>
    <row r="15">
      <c r="A15" s="9" t="n"/>
      <c r="B15" s="9" t="n"/>
      <c r="C15" s="9" t="n"/>
      <c r="D15" s="10" t="n"/>
      <c r="E15" s="10" t="n"/>
      <c r="F15" s="8">
        <f>IF(E15="","",E15-TODAY())</f>
        <v/>
      </c>
      <c r="G15" s="8">
        <f>IF(E15="","",IF(F15&lt;0,"ABGELAUFEN",IF(F15&lt;=90,"bald fällig","ok")))</f>
        <v/>
      </c>
      <c r="H15" s="11" t="n"/>
      <c r="I15" s="9" t="n"/>
    </row>
    <row r="16">
      <c r="A16" s="9" t="n"/>
      <c r="B16" s="9" t="n"/>
      <c r="C16" s="9" t="n"/>
      <c r="D16" s="10" t="n"/>
      <c r="E16" s="10" t="n"/>
      <c r="F16" s="8">
        <f>IF(E16="","",E16-TODAY())</f>
        <v/>
      </c>
      <c r="G16" s="8">
        <f>IF(E16="","",IF(F16&lt;0,"ABGELAUFEN",IF(F16&lt;=90,"bald fällig","ok")))</f>
        <v/>
      </c>
      <c r="H16" s="11" t="n"/>
      <c r="I16" s="9" t="n"/>
    </row>
    <row r="17">
      <c r="A17" s="9" t="n"/>
      <c r="B17" s="9" t="n"/>
      <c r="C17" s="9" t="n"/>
      <c r="D17" s="10" t="n"/>
      <c r="E17" s="10" t="n"/>
      <c r="F17" s="8">
        <f>IF(E17="","",E17-TODAY())</f>
        <v/>
      </c>
      <c r="G17" s="8">
        <f>IF(E17="","",IF(F17&lt;0,"ABGELAUFEN",IF(F17&lt;=90,"bald fällig","ok")))</f>
        <v/>
      </c>
      <c r="H17" s="11" t="n"/>
      <c r="I17" s="9" t="n"/>
    </row>
    <row r="18">
      <c r="A18" s="9" t="n"/>
      <c r="B18" s="9" t="n"/>
      <c r="C18" s="9" t="n"/>
      <c r="D18" s="10" t="n"/>
      <c r="E18" s="10" t="n"/>
      <c r="F18" s="8">
        <f>IF(E18="","",E18-TODAY())</f>
        <v/>
      </c>
      <c r="G18" s="8">
        <f>IF(E18="","",IF(F18&lt;0,"ABGELAUFEN",IF(F18&lt;=90,"bald fällig","ok")))</f>
        <v/>
      </c>
      <c r="H18" s="11" t="n"/>
      <c r="I18" s="9" t="n"/>
    </row>
    <row r="19">
      <c r="A19" s="9" t="n"/>
      <c r="B19" s="9" t="n"/>
      <c r="C19" s="9" t="n"/>
      <c r="D19" s="10" t="n"/>
      <c r="E19" s="10" t="n"/>
      <c r="F19" s="8">
        <f>IF(E19="","",E19-TODAY())</f>
        <v/>
      </c>
      <c r="G19" s="8">
        <f>IF(E19="","",IF(F19&lt;0,"ABGELAUFEN",IF(F19&lt;=90,"bald fällig","ok")))</f>
        <v/>
      </c>
      <c r="H19" s="11" t="n"/>
      <c r="I19" s="9" t="n"/>
    </row>
    <row r="20">
      <c r="A20" s="9" t="n"/>
      <c r="B20" s="9" t="n"/>
      <c r="C20" s="9" t="n"/>
      <c r="D20" s="10" t="n"/>
      <c r="E20" s="10" t="n"/>
      <c r="F20" s="8">
        <f>IF(E20="","",E20-TODAY())</f>
        <v/>
      </c>
      <c r="G20" s="8">
        <f>IF(E20="","",IF(F20&lt;0,"ABGELAUFEN",IF(F20&lt;=90,"bald fällig","ok")))</f>
        <v/>
      </c>
      <c r="H20" s="11" t="n"/>
      <c r="I20" s="9" t="n"/>
    </row>
    <row r="21">
      <c r="A21" s="9" t="n"/>
      <c r="B21" s="9" t="n"/>
      <c r="C21" s="9" t="n"/>
      <c r="D21" s="10" t="n"/>
      <c r="E21" s="10" t="n"/>
      <c r="F21" s="8">
        <f>IF(E21="","",E21-TODAY())</f>
        <v/>
      </c>
      <c r="G21" s="8">
        <f>IF(E21="","",IF(F21&lt;0,"ABGELAUFEN",IF(F21&lt;=90,"bald fällig","ok")))</f>
        <v/>
      </c>
      <c r="H21" s="11" t="n"/>
      <c r="I21" s="9" t="n"/>
    </row>
    <row r="22">
      <c r="A22" s="9" t="n"/>
      <c r="B22" s="9" t="n"/>
      <c r="C22" s="9" t="n"/>
      <c r="D22" s="10" t="n"/>
      <c r="E22" s="10" t="n"/>
      <c r="F22" s="8">
        <f>IF(E22="","",E22-TODAY())</f>
        <v/>
      </c>
      <c r="G22" s="8">
        <f>IF(E22="","",IF(F22&lt;0,"ABGELAUFEN",IF(F22&lt;=90,"bald fällig","ok")))</f>
        <v/>
      </c>
      <c r="H22" s="11" t="n"/>
      <c r="I22" s="9" t="n"/>
    </row>
    <row r="23">
      <c r="A23" s="9" t="n"/>
      <c r="B23" s="9" t="n"/>
      <c r="C23" s="9" t="n"/>
      <c r="D23" s="10" t="n"/>
      <c r="E23" s="10" t="n"/>
      <c r="F23" s="8">
        <f>IF(E23="","",E23-TODAY())</f>
        <v/>
      </c>
      <c r="G23" s="8">
        <f>IF(E23="","",IF(F23&lt;0,"ABGELAUFEN",IF(F23&lt;=90,"bald fällig","ok")))</f>
        <v/>
      </c>
      <c r="H23" s="11" t="n"/>
      <c r="I23" s="9" t="n"/>
    </row>
    <row r="24">
      <c r="A24" s="9" t="n"/>
      <c r="B24" s="9" t="n"/>
      <c r="C24" s="9" t="n"/>
      <c r="D24" s="10" t="n"/>
      <c r="E24" s="10" t="n"/>
      <c r="F24" s="8">
        <f>IF(E24="","",E24-TODAY())</f>
        <v/>
      </c>
      <c r="G24" s="8">
        <f>IF(E24="","",IF(F24&lt;0,"ABGELAUFEN",IF(F24&lt;=90,"bald fällig","ok")))</f>
        <v/>
      </c>
      <c r="H24" s="11" t="n"/>
      <c r="I24" s="9" t="n"/>
    </row>
    <row r="25">
      <c r="A25" s="9" t="n"/>
      <c r="B25" s="9" t="n"/>
      <c r="C25" s="9" t="n"/>
      <c r="D25" s="10" t="n"/>
      <c r="E25" s="10" t="n"/>
      <c r="F25" s="8">
        <f>IF(E25="","",E25-TODAY())</f>
        <v/>
      </c>
      <c r="G25" s="8">
        <f>IF(E25="","",IF(F25&lt;0,"ABGELAUFEN",IF(F25&lt;=90,"bald fällig","ok")))</f>
        <v/>
      </c>
      <c r="H25" s="11" t="n"/>
      <c r="I25" s="9" t="n"/>
    </row>
    <row r="26">
      <c r="A26" s="9" t="n"/>
      <c r="B26" s="9" t="n"/>
      <c r="C26" s="9" t="n"/>
      <c r="D26" s="10" t="n"/>
      <c r="E26" s="10" t="n"/>
      <c r="F26" s="8">
        <f>IF(E26="","",E26-TODAY())</f>
        <v/>
      </c>
      <c r="G26" s="8">
        <f>IF(E26="","",IF(F26&lt;0,"ABGELAUFEN",IF(F26&lt;=90,"bald fällig","ok")))</f>
        <v/>
      </c>
      <c r="H26" s="11" t="n"/>
      <c r="I26" s="9" t="n"/>
    </row>
    <row r="27">
      <c r="A27" s="9" t="n"/>
      <c r="B27" s="9" t="n"/>
      <c r="C27" s="9" t="n"/>
      <c r="D27" s="10" t="n"/>
      <c r="E27" s="10" t="n"/>
      <c r="F27" s="8">
        <f>IF(E27="","",E27-TODAY())</f>
        <v/>
      </c>
      <c r="G27" s="8">
        <f>IF(E27="","",IF(F27&lt;0,"ABGELAUFEN",IF(F27&lt;=90,"bald fällig","ok")))</f>
        <v/>
      </c>
      <c r="H27" s="11" t="n"/>
      <c r="I27" s="9" t="n"/>
    </row>
    <row r="28">
      <c r="A28" s="9" t="n"/>
      <c r="B28" s="9" t="n"/>
      <c r="C28" s="9" t="n"/>
      <c r="D28" s="10" t="n"/>
      <c r="E28" s="10" t="n"/>
      <c r="F28" s="8">
        <f>IF(E28="","",E28-TODAY())</f>
        <v/>
      </c>
      <c r="G28" s="8">
        <f>IF(E28="","",IF(F28&lt;0,"ABGELAUFEN",IF(F28&lt;=90,"bald fällig","ok")))</f>
        <v/>
      </c>
      <c r="H28" s="11" t="n"/>
      <c r="I28" s="9" t="n"/>
    </row>
    <row r="29">
      <c r="A29" s="9" t="n"/>
      <c r="B29" s="9" t="n"/>
      <c r="C29" s="9" t="n"/>
      <c r="D29" s="10" t="n"/>
      <c r="E29" s="10" t="n"/>
      <c r="F29" s="8">
        <f>IF(E29="","",E29-TODAY())</f>
        <v/>
      </c>
      <c r="G29" s="8">
        <f>IF(E29="","",IF(F29&lt;0,"ABGELAUFEN",IF(F29&lt;=90,"bald fällig","ok")))</f>
        <v/>
      </c>
      <c r="H29" s="11" t="n"/>
      <c r="I29" s="9" t="n"/>
    </row>
    <row r="30">
      <c r="A30" s="9" t="n"/>
      <c r="B30" s="9" t="n"/>
      <c r="C30" s="9" t="n"/>
      <c r="D30" s="10" t="n"/>
      <c r="E30" s="10" t="n"/>
      <c r="F30" s="8">
        <f>IF(E30="","",E30-TODAY())</f>
        <v/>
      </c>
      <c r="G30" s="8">
        <f>IF(E30="","",IF(F30&lt;0,"ABGELAUFEN",IF(F30&lt;=90,"bald fällig","ok")))</f>
        <v/>
      </c>
      <c r="H30" s="11" t="n"/>
      <c r="I30" s="9" t="n"/>
    </row>
    <row r="31">
      <c r="A31" s="9" t="n"/>
      <c r="B31" s="9" t="n"/>
      <c r="C31" s="9" t="n"/>
      <c r="D31" s="10" t="n"/>
      <c r="E31" s="10" t="n"/>
      <c r="F31" s="8">
        <f>IF(E31="","",E31-TODAY())</f>
        <v/>
      </c>
      <c r="G31" s="8">
        <f>IF(E31="","",IF(F31&lt;0,"ABGELAUFEN",IF(F31&lt;=90,"bald fällig","ok")))</f>
        <v/>
      </c>
      <c r="H31" s="11" t="n"/>
      <c r="I31" s="9" t="n"/>
    </row>
    <row r="32">
      <c r="A32" s="9" t="n"/>
      <c r="B32" s="9" t="n"/>
      <c r="C32" s="9" t="n"/>
      <c r="D32" s="10" t="n"/>
      <c r="E32" s="10" t="n"/>
      <c r="F32" s="8">
        <f>IF(E32="","",E32-TODAY())</f>
        <v/>
      </c>
      <c r="G32" s="8">
        <f>IF(E32="","",IF(F32&lt;0,"ABGELAUFEN",IF(F32&lt;=90,"bald fällig","ok")))</f>
        <v/>
      </c>
      <c r="H32" s="11" t="n"/>
      <c r="I32" s="9" t="n"/>
    </row>
    <row r="33">
      <c r="A33" s="9" t="n"/>
      <c r="B33" s="9" t="n"/>
      <c r="C33" s="9" t="n"/>
      <c r="D33" s="10" t="n"/>
      <c r="E33" s="10" t="n"/>
      <c r="F33" s="8">
        <f>IF(E33="","",E33-TODAY())</f>
        <v/>
      </c>
      <c r="G33" s="8">
        <f>IF(E33="","",IF(F33&lt;0,"ABGELAUFEN",IF(F33&lt;=90,"bald fällig","ok")))</f>
        <v/>
      </c>
      <c r="H33" s="11" t="n"/>
      <c r="I33" s="9" t="n"/>
    </row>
    <row r="34">
      <c r="A34" s="9" t="n"/>
      <c r="B34" s="9" t="n"/>
      <c r="C34" s="9" t="n"/>
      <c r="D34" s="10" t="n"/>
      <c r="E34" s="10" t="n"/>
      <c r="F34" s="8">
        <f>IF(E34="","",E34-TODAY())</f>
        <v/>
      </c>
      <c r="G34" s="8">
        <f>IF(E34="","",IF(F34&lt;0,"ABGELAUFEN",IF(F34&lt;=90,"bald fällig","ok")))</f>
        <v/>
      </c>
      <c r="H34" s="11" t="n"/>
      <c r="I34" s="9" t="n"/>
    </row>
    <row r="35">
      <c r="A35" s="9" t="n"/>
      <c r="B35" s="9" t="n"/>
      <c r="C35" s="9" t="n"/>
      <c r="D35" s="10" t="n"/>
      <c r="E35" s="10" t="n"/>
      <c r="F35" s="8">
        <f>IF(E35="","",E35-TODAY())</f>
        <v/>
      </c>
      <c r="G35" s="8">
        <f>IF(E35="","",IF(F35&lt;0,"ABGELAUFEN",IF(F35&lt;=90,"bald fällig","ok")))</f>
        <v/>
      </c>
      <c r="H35" s="11" t="n"/>
      <c r="I35" s="9" t="n"/>
    </row>
    <row r="36">
      <c r="A36" s="9" t="n"/>
      <c r="B36" s="9" t="n"/>
      <c r="C36" s="9" t="n"/>
      <c r="D36" s="10" t="n"/>
      <c r="E36" s="10" t="n"/>
      <c r="F36" s="8">
        <f>IF(E36="","",E36-TODAY())</f>
        <v/>
      </c>
      <c r="G36" s="8">
        <f>IF(E36="","",IF(F36&lt;0,"ABGELAUFEN",IF(F36&lt;=90,"bald fällig","ok")))</f>
        <v/>
      </c>
      <c r="H36" s="11" t="n"/>
      <c r="I36" s="9" t="n"/>
    </row>
    <row r="37">
      <c r="A37" s="9" t="n"/>
      <c r="B37" s="9" t="n"/>
      <c r="C37" s="9" t="n"/>
      <c r="D37" s="10" t="n"/>
      <c r="E37" s="10" t="n"/>
      <c r="F37" s="8">
        <f>IF(E37="","",E37-TODAY())</f>
        <v/>
      </c>
      <c r="G37" s="8">
        <f>IF(E37="","",IF(F37&lt;0,"ABGELAUFEN",IF(F37&lt;=90,"bald fällig","ok")))</f>
        <v/>
      </c>
      <c r="H37" s="11" t="n"/>
      <c r="I37" s="9" t="n"/>
    </row>
    <row r="38">
      <c r="A38" s="9" t="n"/>
      <c r="B38" s="9" t="n"/>
      <c r="C38" s="9" t="n"/>
      <c r="D38" s="10" t="n"/>
      <c r="E38" s="10" t="n"/>
      <c r="F38" s="8">
        <f>IF(E38="","",E38-TODAY())</f>
        <v/>
      </c>
      <c r="G38" s="8">
        <f>IF(E38="","",IF(F38&lt;0,"ABGELAUFEN",IF(F38&lt;=90,"bald fällig","ok")))</f>
        <v/>
      </c>
      <c r="H38" s="11" t="n"/>
      <c r="I38" s="9" t="n"/>
    </row>
    <row r="39">
      <c r="A39" s="9" t="n"/>
      <c r="B39" s="9" t="n"/>
      <c r="C39" s="9" t="n"/>
      <c r="D39" s="10" t="n"/>
      <c r="E39" s="10" t="n"/>
      <c r="F39" s="8">
        <f>IF(E39="","",E39-TODAY())</f>
        <v/>
      </c>
      <c r="G39" s="8">
        <f>IF(E39="","",IF(F39&lt;0,"ABGELAUFEN",IF(F39&lt;=90,"bald fällig","ok")))</f>
        <v/>
      </c>
      <c r="H39" s="11" t="n"/>
      <c r="I39" s="9" t="n"/>
    </row>
    <row r="40">
      <c r="A40" s="9" t="n"/>
      <c r="B40" s="9" t="n"/>
      <c r="C40" s="9" t="n"/>
      <c r="D40" s="10" t="n"/>
      <c r="E40" s="10" t="n"/>
      <c r="F40" s="8">
        <f>IF(E40="","",E40-TODAY())</f>
        <v/>
      </c>
      <c r="G40" s="8">
        <f>IF(E40="","",IF(F40&lt;0,"ABGELAUFEN",IF(F40&lt;=90,"bald fällig","ok")))</f>
        <v/>
      </c>
      <c r="H40" s="11" t="n"/>
      <c r="I40" s="9" t="n"/>
    </row>
    <row r="41">
      <c r="A41" s="9" t="n"/>
      <c r="B41" s="9" t="n"/>
      <c r="C41" s="9" t="n"/>
      <c r="D41" s="10" t="n"/>
      <c r="E41" s="10" t="n"/>
      <c r="F41" s="8">
        <f>IF(E41="","",E41-TODAY())</f>
        <v/>
      </c>
      <c r="G41" s="8">
        <f>IF(E41="","",IF(F41&lt;0,"ABGELAUFEN",IF(F41&lt;=90,"bald fällig","ok")))</f>
        <v/>
      </c>
      <c r="H41" s="11" t="n"/>
      <c r="I41" s="9" t="n"/>
    </row>
    <row r="42">
      <c r="A42" s="9" t="n"/>
      <c r="B42" s="9" t="n"/>
      <c r="C42" s="9" t="n"/>
      <c r="D42" s="10" t="n"/>
      <c r="E42" s="10" t="n"/>
      <c r="F42" s="8">
        <f>IF(E42="","",E42-TODAY())</f>
        <v/>
      </c>
      <c r="G42" s="8">
        <f>IF(E42="","",IF(F42&lt;0,"ABGELAUFEN",IF(F42&lt;=90,"bald fällig","ok")))</f>
        <v/>
      </c>
      <c r="H42" s="11" t="n"/>
      <c r="I42" s="9" t="n"/>
    </row>
    <row r="43">
      <c r="A43" s="9" t="n"/>
      <c r="B43" s="9" t="n"/>
      <c r="C43" s="9" t="n"/>
      <c r="D43" s="10" t="n"/>
      <c r="E43" s="10" t="n"/>
      <c r="F43" s="8">
        <f>IF(E43="","",E43-TODAY())</f>
        <v/>
      </c>
      <c r="G43" s="8">
        <f>IF(E43="","",IF(F43&lt;0,"ABGELAUFEN",IF(F43&lt;=90,"bald fällig","ok")))</f>
        <v/>
      </c>
      <c r="H43" s="11" t="n"/>
      <c r="I43" s="9" t="n"/>
    </row>
    <row r="44">
      <c r="A44" s="9" t="n"/>
      <c r="B44" s="9" t="n"/>
      <c r="C44" s="9" t="n"/>
      <c r="D44" s="10" t="n"/>
      <c r="E44" s="10" t="n"/>
      <c r="F44" s="8">
        <f>IF(E44="","",E44-TODAY())</f>
        <v/>
      </c>
      <c r="G44" s="8">
        <f>IF(E44="","",IF(F44&lt;0,"ABGELAUFEN",IF(F44&lt;=90,"bald fällig","ok")))</f>
        <v/>
      </c>
      <c r="H44" s="11" t="n"/>
      <c r="I44" s="9" t="n"/>
    </row>
    <row r="45">
      <c r="A45" s="9" t="n"/>
      <c r="B45" s="9" t="n"/>
      <c r="C45" s="9" t="n"/>
      <c r="D45" s="10" t="n"/>
      <c r="E45" s="10" t="n"/>
      <c r="F45" s="8">
        <f>IF(E45="","",E45-TODAY())</f>
        <v/>
      </c>
      <c r="G45" s="8">
        <f>IF(E45="","",IF(F45&lt;0,"ABGELAUFEN",IF(F45&lt;=90,"bald fällig","ok")))</f>
        <v/>
      </c>
      <c r="H45" s="11" t="n"/>
      <c r="I45" s="9" t="n"/>
    </row>
    <row r="46">
      <c r="A46" s="9" t="n"/>
      <c r="B46" s="9" t="n"/>
      <c r="C46" s="9" t="n"/>
      <c r="D46" s="10" t="n"/>
      <c r="E46" s="10" t="n"/>
      <c r="F46" s="8">
        <f>IF(E46="","",E46-TODAY())</f>
        <v/>
      </c>
      <c r="G46" s="8">
        <f>IF(E46="","",IF(F46&lt;0,"ABGELAUFEN",IF(F46&lt;=90,"bald fällig","ok")))</f>
        <v/>
      </c>
      <c r="H46" s="11" t="n"/>
      <c r="I46" s="9" t="n"/>
    </row>
    <row r="47">
      <c r="A47" s="9" t="n"/>
      <c r="B47" s="9" t="n"/>
      <c r="C47" s="9" t="n"/>
      <c r="D47" s="10" t="n"/>
      <c r="E47" s="10" t="n"/>
      <c r="F47" s="8">
        <f>IF(E47="","",E47-TODAY())</f>
        <v/>
      </c>
      <c r="G47" s="8">
        <f>IF(E47="","",IF(F47&lt;0,"ABGELAUFEN",IF(F47&lt;=90,"bald fällig","ok")))</f>
        <v/>
      </c>
      <c r="H47" s="11" t="n"/>
      <c r="I47" s="9" t="n"/>
    </row>
    <row r="48">
      <c r="A48" s="9" t="n"/>
      <c r="B48" s="9" t="n"/>
      <c r="C48" s="9" t="n"/>
      <c r="D48" s="10" t="n"/>
      <c r="E48" s="10" t="n"/>
      <c r="F48" s="8">
        <f>IF(E48="","",E48-TODAY())</f>
        <v/>
      </c>
      <c r="G48" s="8">
        <f>IF(E48="","",IF(F48&lt;0,"ABGELAUFEN",IF(F48&lt;=90,"bald fällig","ok")))</f>
        <v/>
      </c>
      <c r="H48" s="11" t="n"/>
      <c r="I48" s="9" t="n"/>
    </row>
    <row r="49">
      <c r="A49" s="9" t="n"/>
      <c r="B49" s="9" t="n"/>
      <c r="C49" s="9" t="n"/>
      <c r="D49" s="10" t="n"/>
      <c r="E49" s="10" t="n"/>
      <c r="F49" s="8">
        <f>IF(E49="","",E49-TODAY())</f>
        <v/>
      </c>
      <c r="G49" s="8">
        <f>IF(E49="","",IF(F49&lt;0,"ABGELAUFEN",IF(F49&lt;=90,"bald fällig","ok")))</f>
        <v/>
      </c>
      <c r="H49" s="11" t="n"/>
      <c r="I49" s="9" t="n"/>
    </row>
    <row r="50">
      <c r="A50" s="9" t="n"/>
      <c r="B50" s="9" t="n"/>
      <c r="C50" s="9" t="n"/>
      <c r="D50" s="10" t="n"/>
      <c r="E50" s="10" t="n"/>
      <c r="F50" s="8">
        <f>IF(E50="","",E50-TODAY())</f>
        <v/>
      </c>
      <c r="G50" s="8">
        <f>IF(E50="","",IF(F50&lt;0,"ABGELAUFEN",IF(F50&lt;=90,"bald fällig","ok")))</f>
        <v/>
      </c>
      <c r="H50" s="11" t="n"/>
      <c r="I50" s="9" t="n"/>
    </row>
    <row r="51">
      <c r="A51" s="9" t="n"/>
      <c r="B51" s="9" t="n"/>
      <c r="C51" s="9" t="n"/>
      <c r="D51" s="10" t="n"/>
      <c r="E51" s="10" t="n"/>
      <c r="F51" s="8">
        <f>IF(E51="","",E51-TODAY())</f>
        <v/>
      </c>
      <c r="G51" s="8">
        <f>IF(E51="","",IF(F51&lt;0,"ABGELAUFEN",IF(F51&lt;=90,"bald fällig","ok")))</f>
        <v/>
      </c>
      <c r="H51" s="11" t="n"/>
      <c r="I51" s="9" t="n"/>
    </row>
    <row r="52">
      <c r="A52" s="9" t="n"/>
      <c r="B52" s="9" t="n"/>
      <c r="C52" s="9" t="n"/>
      <c r="D52" s="10" t="n"/>
      <c r="E52" s="10" t="n"/>
      <c r="F52" s="8">
        <f>IF(E52="","",E52-TODAY())</f>
        <v/>
      </c>
      <c r="G52" s="8">
        <f>IF(E52="","",IF(F52&lt;0,"ABGELAUFEN",IF(F52&lt;=90,"bald fällig","ok")))</f>
        <v/>
      </c>
      <c r="H52" s="11" t="n"/>
      <c r="I52" s="9" t="n"/>
    </row>
    <row r="53">
      <c r="A53" s="9" t="n"/>
      <c r="B53" s="9" t="n"/>
      <c r="C53" s="9" t="n"/>
      <c r="D53" s="10" t="n"/>
      <c r="E53" s="10" t="n"/>
      <c r="F53" s="8">
        <f>IF(E53="","",E53-TODAY())</f>
        <v/>
      </c>
      <c r="G53" s="8">
        <f>IF(E53="","",IF(F53&lt;0,"ABGELAUFEN",IF(F53&lt;=90,"bald fällig","ok")))</f>
        <v/>
      </c>
      <c r="H53" s="11" t="n"/>
      <c r="I53" s="9" t="n"/>
    </row>
    <row r="54">
      <c r="A54" s="9" t="n"/>
      <c r="B54" s="9" t="n"/>
      <c r="C54" s="9" t="n"/>
      <c r="D54" s="10" t="n"/>
      <c r="E54" s="10" t="n"/>
      <c r="F54" s="8">
        <f>IF(E54="","",E54-TODAY())</f>
        <v/>
      </c>
      <c r="G54" s="8">
        <f>IF(E54="","",IF(F54&lt;0,"ABGELAUFEN",IF(F54&lt;=90,"bald fällig","ok")))</f>
        <v/>
      </c>
      <c r="H54" s="11" t="n"/>
      <c r="I54" s="9" t="n"/>
    </row>
  </sheetData>
  <conditionalFormatting sqref="G5:G54">
    <cfRule type="cellIs" priority="1" operator="equal" dxfId="0">
      <formula>"ABGELAUFEN"</formula>
    </cfRule>
    <cfRule type="cellIs" priority="2" operator="equal" dxfId="1">
      <formula>"bald fällig"</formula>
    </cfRule>
  </conditionalFormatting>
  <dataValidations count="1">
    <dataValidation sqref="C5:C54" showDropDown="0" showInputMessage="0" showErrorMessage="0" allowBlank="1" type="list">
      <formula1>"Spielervertrag,Staff,Creator,Sponsoring,Investor,NDA,Sonstiges"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E96A3"/>
    <outlinePr summaryBelow="1" summaryRight="1"/>
    <pageSetUpPr/>
  </sheetPr>
  <dimension ref="A1:H6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>
      <c r="A1" s="6" t="inlineStr">
        <is>
          <t>VALIOUX · Turnier- &amp; Preisgeld-Tracker</t>
        </is>
      </c>
    </row>
    <row r="2">
      <c r="A2" s="5" t="inlineStr">
        <is>
          <t>Gelb = Eingabe · Grau = Formel (nicht überschreiben)</t>
        </is>
      </c>
    </row>
    <row r="4" ht="32" customHeight="1">
      <c r="A4" s="7" t="inlineStr">
        <is>
          <t>Datum</t>
        </is>
      </c>
      <c r="B4" s="7" t="inlineStr">
        <is>
          <t>Turnier</t>
        </is>
      </c>
      <c r="C4" s="7" t="inlineStr">
        <is>
          <t>Team</t>
        </is>
      </c>
      <c r="D4" s="7" t="inlineStr">
        <is>
          <t>Platzierung</t>
        </is>
      </c>
      <c r="E4" s="7" t="inlineStr">
        <is>
          <t>Preisgeld €</t>
        </is>
      </c>
      <c r="F4" s="7" t="inlineStr">
        <is>
          <t>Org-Anteil %</t>
        </is>
      </c>
      <c r="G4" s="7" t="inlineStr">
        <is>
          <t>Org-Betrag €</t>
        </is>
      </c>
      <c r="H4" s="7" t="inlineStr">
        <is>
          <t>Notiz</t>
        </is>
      </c>
    </row>
    <row r="5">
      <c r="A5" s="10" t="n"/>
      <c r="B5" s="9" t="n"/>
      <c r="C5" s="9" t="n"/>
      <c r="D5" s="9" t="n"/>
      <c r="E5" s="11" t="n"/>
      <c r="F5" s="12" t="n"/>
      <c r="G5" s="13">
        <f>IF(E5="","",E5*F5)</f>
        <v/>
      </c>
      <c r="H5" s="9" t="n"/>
    </row>
    <row r="6">
      <c r="A6" s="10" t="n"/>
      <c r="B6" s="9" t="n"/>
      <c r="C6" s="9" t="n"/>
      <c r="D6" s="9" t="n"/>
      <c r="E6" s="11" t="n"/>
      <c r="F6" s="12" t="n"/>
      <c r="G6" s="13">
        <f>IF(E6="","",E6*F6)</f>
        <v/>
      </c>
      <c r="H6" s="9" t="n"/>
    </row>
    <row r="7">
      <c r="A7" s="10" t="n"/>
      <c r="B7" s="9" t="n"/>
      <c r="C7" s="9" t="n"/>
      <c r="D7" s="9" t="n"/>
      <c r="E7" s="11" t="n"/>
      <c r="F7" s="12" t="n"/>
      <c r="G7" s="13">
        <f>IF(E7="","",E7*F7)</f>
        <v/>
      </c>
      <c r="H7" s="9" t="n"/>
    </row>
    <row r="8">
      <c r="A8" s="10" t="n"/>
      <c r="B8" s="9" t="n"/>
      <c r="C8" s="9" t="n"/>
      <c r="D8" s="9" t="n"/>
      <c r="E8" s="11" t="n"/>
      <c r="F8" s="12" t="n"/>
      <c r="G8" s="13">
        <f>IF(E8="","",E8*F8)</f>
        <v/>
      </c>
      <c r="H8" s="9" t="n"/>
    </row>
    <row r="9">
      <c r="A9" s="10" t="n"/>
      <c r="B9" s="9" t="n"/>
      <c r="C9" s="9" t="n"/>
      <c r="D9" s="9" t="n"/>
      <c r="E9" s="11" t="n"/>
      <c r="F9" s="12" t="n"/>
      <c r="G9" s="13">
        <f>IF(E9="","",E9*F9)</f>
        <v/>
      </c>
      <c r="H9" s="9" t="n"/>
    </row>
    <row r="10">
      <c r="A10" s="10" t="n"/>
      <c r="B10" s="9" t="n"/>
      <c r="C10" s="9" t="n"/>
      <c r="D10" s="9" t="n"/>
      <c r="E10" s="11" t="n"/>
      <c r="F10" s="12" t="n"/>
      <c r="G10" s="13">
        <f>IF(E10="","",E10*F10)</f>
        <v/>
      </c>
      <c r="H10" s="9" t="n"/>
    </row>
    <row r="11">
      <c r="A11" s="10" t="n"/>
      <c r="B11" s="9" t="n"/>
      <c r="C11" s="9" t="n"/>
      <c r="D11" s="9" t="n"/>
      <c r="E11" s="11" t="n"/>
      <c r="F11" s="12" t="n"/>
      <c r="G11" s="13">
        <f>IF(E11="","",E11*F11)</f>
        <v/>
      </c>
      <c r="H11" s="9" t="n"/>
    </row>
    <row r="12">
      <c r="A12" s="10" t="n"/>
      <c r="B12" s="9" t="n"/>
      <c r="C12" s="9" t="n"/>
      <c r="D12" s="9" t="n"/>
      <c r="E12" s="11" t="n"/>
      <c r="F12" s="12" t="n"/>
      <c r="G12" s="13">
        <f>IF(E12="","",E12*F12)</f>
        <v/>
      </c>
      <c r="H12" s="9" t="n"/>
    </row>
    <row r="13">
      <c r="A13" s="10" t="n"/>
      <c r="B13" s="9" t="n"/>
      <c r="C13" s="9" t="n"/>
      <c r="D13" s="9" t="n"/>
      <c r="E13" s="11" t="n"/>
      <c r="F13" s="12" t="n"/>
      <c r="G13" s="13">
        <f>IF(E13="","",E13*F13)</f>
        <v/>
      </c>
      <c r="H13" s="9" t="n"/>
    </row>
    <row r="14">
      <c r="A14" s="10" t="n"/>
      <c r="B14" s="9" t="n"/>
      <c r="C14" s="9" t="n"/>
      <c r="D14" s="9" t="n"/>
      <c r="E14" s="11" t="n"/>
      <c r="F14" s="12" t="n"/>
      <c r="G14" s="13">
        <f>IF(E14="","",E14*F14)</f>
        <v/>
      </c>
      <c r="H14" s="9" t="n"/>
    </row>
    <row r="15">
      <c r="A15" s="10" t="n"/>
      <c r="B15" s="9" t="n"/>
      <c r="C15" s="9" t="n"/>
      <c r="D15" s="9" t="n"/>
      <c r="E15" s="11" t="n"/>
      <c r="F15" s="12" t="n"/>
      <c r="G15" s="13">
        <f>IF(E15="","",E15*F15)</f>
        <v/>
      </c>
      <c r="H15" s="9" t="n"/>
    </row>
    <row r="16">
      <c r="A16" s="10" t="n"/>
      <c r="B16" s="9" t="n"/>
      <c r="C16" s="9" t="n"/>
      <c r="D16" s="9" t="n"/>
      <c r="E16" s="11" t="n"/>
      <c r="F16" s="12" t="n"/>
      <c r="G16" s="13">
        <f>IF(E16="","",E16*F16)</f>
        <v/>
      </c>
      <c r="H16" s="9" t="n"/>
    </row>
    <row r="17">
      <c r="A17" s="10" t="n"/>
      <c r="B17" s="9" t="n"/>
      <c r="C17" s="9" t="n"/>
      <c r="D17" s="9" t="n"/>
      <c r="E17" s="11" t="n"/>
      <c r="F17" s="12" t="n"/>
      <c r="G17" s="13">
        <f>IF(E17="","",E17*F17)</f>
        <v/>
      </c>
      <c r="H17" s="9" t="n"/>
    </row>
    <row r="18">
      <c r="A18" s="10" t="n"/>
      <c r="B18" s="9" t="n"/>
      <c r="C18" s="9" t="n"/>
      <c r="D18" s="9" t="n"/>
      <c r="E18" s="11" t="n"/>
      <c r="F18" s="12" t="n"/>
      <c r="G18" s="13">
        <f>IF(E18="","",E18*F18)</f>
        <v/>
      </c>
      <c r="H18" s="9" t="n"/>
    </row>
    <row r="19">
      <c r="A19" s="10" t="n"/>
      <c r="B19" s="9" t="n"/>
      <c r="C19" s="9" t="n"/>
      <c r="D19" s="9" t="n"/>
      <c r="E19" s="11" t="n"/>
      <c r="F19" s="12" t="n"/>
      <c r="G19" s="13">
        <f>IF(E19="","",E19*F19)</f>
        <v/>
      </c>
      <c r="H19" s="9" t="n"/>
    </row>
    <row r="20">
      <c r="A20" s="10" t="n"/>
      <c r="B20" s="9" t="n"/>
      <c r="C20" s="9" t="n"/>
      <c r="D20" s="9" t="n"/>
      <c r="E20" s="11" t="n"/>
      <c r="F20" s="12" t="n"/>
      <c r="G20" s="13">
        <f>IF(E20="","",E20*F20)</f>
        <v/>
      </c>
      <c r="H20" s="9" t="n"/>
    </row>
    <row r="21">
      <c r="A21" s="10" t="n"/>
      <c r="B21" s="9" t="n"/>
      <c r="C21" s="9" t="n"/>
      <c r="D21" s="9" t="n"/>
      <c r="E21" s="11" t="n"/>
      <c r="F21" s="12" t="n"/>
      <c r="G21" s="13">
        <f>IF(E21="","",E21*F21)</f>
        <v/>
      </c>
      <c r="H21" s="9" t="n"/>
    </row>
    <row r="22">
      <c r="A22" s="10" t="n"/>
      <c r="B22" s="9" t="n"/>
      <c r="C22" s="9" t="n"/>
      <c r="D22" s="9" t="n"/>
      <c r="E22" s="11" t="n"/>
      <c r="F22" s="12" t="n"/>
      <c r="G22" s="13">
        <f>IF(E22="","",E22*F22)</f>
        <v/>
      </c>
      <c r="H22" s="9" t="n"/>
    </row>
    <row r="23">
      <c r="A23" s="10" t="n"/>
      <c r="B23" s="9" t="n"/>
      <c r="C23" s="9" t="n"/>
      <c r="D23" s="9" t="n"/>
      <c r="E23" s="11" t="n"/>
      <c r="F23" s="12" t="n"/>
      <c r="G23" s="13">
        <f>IF(E23="","",E23*F23)</f>
        <v/>
      </c>
      <c r="H23" s="9" t="n"/>
    </row>
    <row r="24">
      <c r="A24" s="10" t="n"/>
      <c r="B24" s="9" t="n"/>
      <c r="C24" s="9" t="n"/>
      <c r="D24" s="9" t="n"/>
      <c r="E24" s="11" t="n"/>
      <c r="F24" s="12" t="n"/>
      <c r="G24" s="13">
        <f>IF(E24="","",E24*F24)</f>
        <v/>
      </c>
      <c r="H24" s="9" t="n"/>
    </row>
    <row r="25">
      <c r="A25" s="10" t="n"/>
      <c r="B25" s="9" t="n"/>
      <c r="C25" s="9" t="n"/>
      <c r="D25" s="9" t="n"/>
      <c r="E25" s="11" t="n"/>
      <c r="F25" s="12" t="n"/>
      <c r="G25" s="13">
        <f>IF(E25="","",E25*F25)</f>
        <v/>
      </c>
      <c r="H25" s="9" t="n"/>
    </row>
    <row r="26">
      <c r="A26" s="10" t="n"/>
      <c r="B26" s="9" t="n"/>
      <c r="C26" s="9" t="n"/>
      <c r="D26" s="9" t="n"/>
      <c r="E26" s="11" t="n"/>
      <c r="F26" s="12" t="n"/>
      <c r="G26" s="13">
        <f>IF(E26="","",E26*F26)</f>
        <v/>
      </c>
      <c r="H26" s="9" t="n"/>
    </row>
    <row r="27">
      <c r="A27" s="10" t="n"/>
      <c r="B27" s="9" t="n"/>
      <c r="C27" s="9" t="n"/>
      <c r="D27" s="9" t="n"/>
      <c r="E27" s="11" t="n"/>
      <c r="F27" s="12" t="n"/>
      <c r="G27" s="13">
        <f>IF(E27="","",E27*F27)</f>
        <v/>
      </c>
      <c r="H27" s="9" t="n"/>
    </row>
    <row r="28">
      <c r="A28" s="10" t="n"/>
      <c r="B28" s="9" t="n"/>
      <c r="C28" s="9" t="n"/>
      <c r="D28" s="9" t="n"/>
      <c r="E28" s="11" t="n"/>
      <c r="F28" s="12" t="n"/>
      <c r="G28" s="13">
        <f>IF(E28="","",E28*F28)</f>
        <v/>
      </c>
      <c r="H28" s="9" t="n"/>
    </row>
    <row r="29">
      <c r="A29" s="10" t="n"/>
      <c r="B29" s="9" t="n"/>
      <c r="C29" s="9" t="n"/>
      <c r="D29" s="9" t="n"/>
      <c r="E29" s="11" t="n"/>
      <c r="F29" s="12" t="n"/>
      <c r="G29" s="13">
        <f>IF(E29="","",E29*F29)</f>
        <v/>
      </c>
      <c r="H29" s="9" t="n"/>
    </row>
    <row r="30">
      <c r="A30" s="10" t="n"/>
      <c r="B30" s="9" t="n"/>
      <c r="C30" s="9" t="n"/>
      <c r="D30" s="9" t="n"/>
      <c r="E30" s="11" t="n"/>
      <c r="F30" s="12" t="n"/>
      <c r="G30" s="13">
        <f>IF(E30="","",E30*F30)</f>
        <v/>
      </c>
      <c r="H30" s="9" t="n"/>
    </row>
    <row r="31">
      <c r="A31" s="10" t="n"/>
      <c r="B31" s="9" t="n"/>
      <c r="C31" s="9" t="n"/>
      <c r="D31" s="9" t="n"/>
      <c r="E31" s="11" t="n"/>
      <c r="F31" s="12" t="n"/>
      <c r="G31" s="13">
        <f>IF(E31="","",E31*F31)</f>
        <v/>
      </c>
      <c r="H31" s="9" t="n"/>
    </row>
    <row r="32">
      <c r="A32" s="10" t="n"/>
      <c r="B32" s="9" t="n"/>
      <c r="C32" s="9" t="n"/>
      <c r="D32" s="9" t="n"/>
      <c r="E32" s="11" t="n"/>
      <c r="F32" s="12" t="n"/>
      <c r="G32" s="13">
        <f>IF(E32="","",E32*F32)</f>
        <v/>
      </c>
      <c r="H32" s="9" t="n"/>
    </row>
    <row r="33">
      <c r="A33" s="10" t="n"/>
      <c r="B33" s="9" t="n"/>
      <c r="C33" s="9" t="n"/>
      <c r="D33" s="9" t="n"/>
      <c r="E33" s="11" t="n"/>
      <c r="F33" s="12" t="n"/>
      <c r="G33" s="13">
        <f>IF(E33="","",E33*F33)</f>
        <v/>
      </c>
      <c r="H33" s="9" t="n"/>
    </row>
    <row r="34">
      <c r="A34" s="10" t="n"/>
      <c r="B34" s="9" t="n"/>
      <c r="C34" s="9" t="n"/>
      <c r="D34" s="9" t="n"/>
      <c r="E34" s="11" t="n"/>
      <c r="F34" s="12" t="n"/>
      <c r="G34" s="13">
        <f>IF(E34="","",E34*F34)</f>
        <v/>
      </c>
      <c r="H34" s="9" t="n"/>
    </row>
    <row r="35">
      <c r="A35" s="10" t="n"/>
      <c r="B35" s="9" t="n"/>
      <c r="C35" s="9" t="n"/>
      <c r="D35" s="9" t="n"/>
      <c r="E35" s="11" t="n"/>
      <c r="F35" s="12" t="n"/>
      <c r="G35" s="13">
        <f>IF(E35="","",E35*F35)</f>
        <v/>
      </c>
      <c r="H35" s="9" t="n"/>
    </row>
    <row r="36">
      <c r="A36" s="10" t="n"/>
      <c r="B36" s="9" t="n"/>
      <c r="C36" s="9" t="n"/>
      <c r="D36" s="9" t="n"/>
      <c r="E36" s="11" t="n"/>
      <c r="F36" s="12" t="n"/>
      <c r="G36" s="13">
        <f>IF(E36="","",E36*F36)</f>
        <v/>
      </c>
      <c r="H36" s="9" t="n"/>
    </row>
    <row r="37">
      <c r="A37" s="10" t="n"/>
      <c r="B37" s="9" t="n"/>
      <c r="C37" s="9" t="n"/>
      <c r="D37" s="9" t="n"/>
      <c r="E37" s="11" t="n"/>
      <c r="F37" s="12" t="n"/>
      <c r="G37" s="13">
        <f>IF(E37="","",E37*F37)</f>
        <v/>
      </c>
      <c r="H37" s="9" t="n"/>
    </row>
    <row r="38">
      <c r="A38" s="10" t="n"/>
      <c r="B38" s="9" t="n"/>
      <c r="C38" s="9" t="n"/>
      <c r="D38" s="9" t="n"/>
      <c r="E38" s="11" t="n"/>
      <c r="F38" s="12" t="n"/>
      <c r="G38" s="13">
        <f>IF(E38="","",E38*F38)</f>
        <v/>
      </c>
      <c r="H38" s="9" t="n"/>
    </row>
    <row r="39">
      <c r="A39" s="10" t="n"/>
      <c r="B39" s="9" t="n"/>
      <c r="C39" s="9" t="n"/>
      <c r="D39" s="9" t="n"/>
      <c r="E39" s="11" t="n"/>
      <c r="F39" s="12" t="n"/>
      <c r="G39" s="13">
        <f>IF(E39="","",E39*F39)</f>
        <v/>
      </c>
      <c r="H39" s="9" t="n"/>
    </row>
    <row r="40">
      <c r="A40" s="10" t="n"/>
      <c r="B40" s="9" t="n"/>
      <c r="C40" s="9" t="n"/>
      <c r="D40" s="9" t="n"/>
      <c r="E40" s="11" t="n"/>
      <c r="F40" s="12" t="n"/>
      <c r="G40" s="13">
        <f>IF(E40="","",E40*F40)</f>
        <v/>
      </c>
      <c r="H40" s="9" t="n"/>
    </row>
    <row r="41">
      <c r="A41" s="10" t="n"/>
      <c r="B41" s="9" t="n"/>
      <c r="C41" s="9" t="n"/>
      <c r="D41" s="9" t="n"/>
      <c r="E41" s="11" t="n"/>
      <c r="F41" s="12" t="n"/>
      <c r="G41" s="13">
        <f>IF(E41="","",E41*F41)</f>
        <v/>
      </c>
      <c r="H41" s="9" t="n"/>
    </row>
    <row r="42">
      <c r="A42" s="10" t="n"/>
      <c r="B42" s="9" t="n"/>
      <c r="C42" s="9" t="n"/>
      <c r="D42" s="9" t="n"/>
      <c r="E42" s="11" t="n"/>
      <c r="F42" s="12" t="n"/>
      <c r="G42" s="13">
        <f>IF(E42="","",E42*F42)</f>
        <v/>
      </c>
      <c r="H42" s="9" t="n"/>
    </row>
    <row r="43">
      <c r="A43" s="10" t="n"/>
      <c r="B43" s="9" t="n"/>
      <c r="C43" s="9" t="n"/>
      <c r="D43" s="9" t="n"/>
      <c r="E43" s="11" t="n"/>
      <c r="F43" s="12" t="n"/>
      <c r="G43" s="13">
        <f>IF(E43="","",E43*F43)</f>
        <v/>
      </c>
      <c r="H43" s="9" t="n"/>
    </row>
    <row r="44">
      <c r="A44" s="10" t="n"/>
      <c r="B44" s="9" t="n"/>
      <c r="C44" s="9" t="n"/>
      <c r="D44" s="9" t="n"/>
      <c r="E44" s="11" t="n"/>
      <c r="F44" s="12" t="n"/>
      <c r="G44" s="13">
        <f>IF(E44="","",E44*F44)</f>
        <v/>
      </c>
      <c r="H44" s="9" t="n"/>
    </row>
    <row r="45">
      <c r="A45" s="10" t="n"/>
      <c r="B45" s="9" t="n"/>
      <c r="C45" s="9" t="n"/>
      <c r="D45" s="9" t="n"/>
      <c r="E45" s="11" t="n"/>
      <c r="F45" s="12" t="n"/>
      <c r="G45" s="13">
        <f>IF(E45="","",E45*F45)</f>
        <v/>
      </c>
      <c r="H45" s="9" t="n"/>
    </row>
    <row r="46">
      <c r="A46" s="10" t="n"/>
      <c r="B46" s="9" t="n"/>
      <c r="C46" s="9" t="n"/>
      <c r="D46" s="9" t="n"/>
      <c r="E46" s="11" t="n"/>
      <c r="F46" s="12" t="n"/>
      <c r="G46" s="13">
        <f>IF(E46="","",E46*F46)</f>
        <v/>
      </c>
      <c r="H46" s="9" t="n"/>
    </row>
    <row r="47">
      <c r="A47" s="10" t="n"/>
      <c r="B47" s="9" t="n"/>
      <c r="C47" s="9" t="n"/>
      <c r="D47" s="9" t="n"/>
      <c r="E47" s="11" t="n"/>
      <c r="F47" s="12" t="n"/>
      <c r="G47" s="13">
        <f>IF(E47="","",E47*F47)</f>
        <v/>
      </c>
      <c r="H47" s="9" t="n"/>
    </row>
    <row r="48">
      <c r="A48" s="10" t="n"/>
      <c r="B48" s="9" t="n"/>
      <c r="C48" s="9" t="n"/>
      <c r="D48" s="9" t="n"/>
      <c r="E48" s="11" t="n"/>
      <c r="F48" s="12" t="n"/>
      <c r="G48" s="13">
        <f>IF(E48="","",E48*F48)</f>
        <v/>
      </c>
      <c r="H48" s="9" t="n"/>
    </row>
    <row r="49">
      <c r="A49" s="10" t="n"/>
      <c r="B49" s="9" t="n"/>
      <c r="C49" s="9" t="n"/>
      <c r="D49" s="9" t="n"/>
      <c r="E49" s="11" t="n"/>
      <c r="F49" s="12" t="n"/>
      <c r="G49" s="13">
        <f>IF(E49="","",E49*F49)</f>
        <v/>
      </c>
      <c r="H49" s="9" t="n"/>
    </row>
    <row r="50">
      <c r="A50" s="10" t="n"/>
      <c r="B50" s="9" t="n"/>
      <c r="C50" s="9" t="n"/>
      <c r="D50" s="9" t="n"/>
      <c r="E50" s="11" t="n"/>
      <c r="F50" s="12" t="n"/>
      <c r="G50" s="13">
        <f>IF(E50="","",E50*F50)</f>
        <v/>
      </c>
      <c r="H50" s="9" t="n"/>
    </row>
    <row r="51">
      <c r="A51" s="10" t="n"/>
      <c r="B51" s="9" t="n"/>
      <c r="C51" s="9" t="n"/>
      <c r="D51" s="9" t="n"/>
      <c r="E51" s="11" t="n"/>
      <c r="F51" s="12" t="n"/>
      <c r="G51" s="13">
        <f>IF(E51="","",E51*F51)</f>
        <v/>
      </c>
      <c r="H51" s="9" t="n"/>
    </row>
    <row r="52">
      <c r="A52" s="10" t="n"/>
      <c r="B52" s="9" t="n"/>
      <c r="C52" s="9" t="n"/>
      <c r="D52" s="9" t="n"/>
      <c r="E52" s="11" t="n"/>
      <c r="F52" s="12" t="n"/>
      <c r="G52" s="13">
        <f>IF(E52="","",E52*F52)</f>
        <v/>
      </c>
      <c r="H52" s="9" t="n"/>
    </row>
    <row r="53">
      <c r="A53" s="10" t="n"/>
      <c r="B53" s="9" t="n"/>
      <c r="C53" s="9" t="n"/>
      <c r="D53" s="9" t="n"/>
      <c r="E53" s="11" t="n"/>
      <c r="F53" s="12" t="n"/>
      <c r="G53" s="13">
        <f>IF(E53="","",E53*F53)</f>
        <v/>
      </c>
      <c r="H53" s="9" t="n"/>
    </row>
    <row r="54">
      <c r="A54" s="10" t="n"/>
      <c r="B54" s="9" t="n"/>
      <c r="C54" s="9" t="n"/>
      <c r="D54" s="9" t="n"/>
      <c r="E54" s="11" t="n"/>
      <c r="F54" s="12" t="n"/>
      <c r="G54" s="13">
        <f>IF(E54="","",E54*F54)</f>
        <v/>
      </c>
      <c r="H54" s="9" t="n"/>
    </row>
    <row r="55">
      <c r="A55" s="10" t="n"/>
      <c r="B55" s="9" t="n"/>
      <c r="C55" s="9" t="n"/>
      <c r="D55" s="9" t="n"/>
      <c r="E55" s="11" t="n"/>
      <c r="F55" s="12" t="n"/>
      <c r="G55" s="13">
        <f>IF(E55="","",E55*F55)</f>
        <v/>
      </c>
      <c r="H55" s="9" t="n"/>
    </row>
    <row r="56">
      <c r="A56" s="10" t="n"/>
      <c r="B56" s="9" t="n"/>
      <c r="C56" s="9" t="n"/>
      <c r="D56" s="9" t="n"/>
      <c r="E56" s="11" t="n"/>
      <c r="F56" s="12" t="n"/>
      <c r="G56" s="13">
        <f>IF(E56="","",E56*F56)</f>
        <v/>
      </c>
      <c r="H56" s="9" t="n"/>
    </row>
    <row r="57">
      <c r="A57" s="10" t="n"/>
      <c r="B57" s="9" t="n"/>
      <c r="C57" s="9" t="n"/>
      <c r="D57" s="9" t="n"/>
      <c r="E57" s="11" t="n"/>
      <c r="F57" s="12" t="n"/>
      <c r="G57" s="13">
        <f>IF(E57="","",E57*F57)</f>
        <v/>
      </c>
      <c r="H57" s="9" t="n"/>
    </row>
    <row r="58">
      <c r="A58" s="10" t="n"/>
      <c r="B58" s="9" t="n"/>
      <c r="C58" s="9" t="n"/>
      <c r="D58" s="9" t="n"/>
      <c r="E58" s="11" t="n"/>
      <c r="F58" s="12" t="n"/>
      <c r="G58" s="13">
        <f>IF(E58="","",E58*F58)</f>
        <v/>
      </c>
      <c r="H58" s="9" t="n"/>
    </row>
    <row r="59">
      <c r="A59" s="10" t="n"/>
      <c r="B59" s="9" t="n"/>
      <c r="C59" s="9" t="n"/>
      <c r="D59" s="9" t="n"/>
      <c r="E59" s="11" t="n"/>
      <c r="F59" s="12" t="n"/>
      <c r="G59" s="13">
        <f>IF(E59="","",E59*F59)</f>
        <v/>
      </c>
      <c r="H59" s="9" t="n"/>
    </row>
    <row r="60">
      <c r="A60" s="10" t="n"/>
      <c r="B60" s="9" t="n"/>
      <c r="C60" s="9" t="n"/>
      <c r="D60" s="9" t="n"/>
      <c r="E60" s="11" t="n"/>
      <c r="F60" s="12" t="n"/>
      <c r="G60" s="13">
        <f>IF(E60="","",E60*F60)</f>
        <v/>
      </c>
      <c r="H60" s="9" t="n"/>
    </row>
    <row r="61">
      <c r="A61" s="10" t="n"/>
      <c r="B61" s="9" t="n"/>
      <c r="C61" s="9" t="n"/>
      <c r="D61" s="9" t="n"/>
      <c r="E61" s="11" t="n"/>
      <c r="F61" s="12" t="n"/>
      <c r="G61" s="13">
        <f>IF(E61="","",E61*F61)</f>
        <v/>
      </c>
      <c r="H61" s="9" t="n"/>
    </row>
    <row r="62">
      <c r="A62" s="10" t="n"/>
      <c r="B62" s="9" t="n"/>
      <c r="C62" s="9" t="n"/>
      <c r="D62" s="9" t="n"/>
      <c r="E62" s="11" t="n"/>
      <c r="F62" s="12" t="n"/>
      <c r="G62" s="13">
        <f>IF(E62="","",E62*F62)</f>
        <v/>
      </c>
      <c r="H62" s="9" t="n"/>
    </row>
    <row r="63">
      <c r="A63" s="10" t="n"/>
      <c r="B63" s="9" t="n"/>
      <c r="C63" s="9" t="n"/>
      <c r="D63" s="9" t="n"/>
      <c r="E63" s="11" t="n"/>
      <c r="F63" s="12" t="n"/>
      <c r="G63" s="13">
        <f>IF(E63="","",E63*F63)</f>
        <v/>
      </c>
      <c r="H63" s="9" t="n"/>
    </row>
    <row r="64">
      <c r="A64" s="10" t="n"/>
      <c r="B64" s="9" t="n"/>
      <c r="C64" s="9" t="n"/>
      <c r="D64" s="9" t="n"/>
      <c r="E64" s="11" t="n"/>
      <c r="F64" s="12" t="n"/>
      <c r="G64" s="13">
        <f>IF(E64="","",E64*F64)</f>
        <v/>
      </c>
      <c r="H64" s="9" t="n"/>
    </row>
    <row r="66">
      <c r="D66" t="inlineStr">
        <is>
          <t>Summe</t>
        </is>
      </c>
      <c r="E66" s="15">
        <f>SUM(E5:E64)</f>
        <v/>
      </c>
      <c r="G66" s="15">
        <f>SUM(G5:G64)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E96A3"/>
    <outlinePr summaryBelow="1" summaryRight="1"/>
    <pageSetUpPr/>
  </sheetPr>
  <dimension ref="A1:I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8" customWidth="1" min="4" max="4"/>
    <col width="14" customWidth="1" min="5" max="5"/>
    <col width="14" customWidth="1" min="6" max="6"/>
    <col width="18" customWidth="1" min="7" max="7"/>
    <col width="14" customWidth="1" min="8" max="8"/>
    <col width="22" customWidth="1" min="9" max="9"/>
  </cols>
  <sheetData>
    <row r="1">
      <c r="A1" s="6" t="inlineStr">
        <is>
          <t>VALIOUX · Equipment-Inventar</t>
        </is>
      </c>
    </row>
    <row r="2">
      <c r="A2" s="5" t="inlineStr">
        <is>
          <t>Gelb = Eingabe · Grau = Formel (nicht überschreiben)</t>
        </is>
      </c>
    </row>
    <row r="4" ht="32" customHeight="1">
      <c r="A4" s="7" t="inlineStr">
        <is>
          <t>Nr.</t>
        </is>
      </c>
      <c r="B4" s="7" t="inlineStr">
        <is>
          <t>Gerät</t>
        </is>
      </c>
      <c r="C4" s="7" t="inlineStr">
        <is>
          <t>Hersteller/Modell</t>
        </is>
      </c>
      <c r="D4" s="7" t="inlineStr">
        <is>
          <t>Seriennummer</t>
        </is>
      </c>
      <c r="E4" s="7" t="inlineStr">
        <is>
          <t>Kaufdatum</t>
        </is>
      </c>
      <c r="F4" s="7" t="inlineStr">
        <is>
          <t>Wert €</t>
        </is>
      </c>
      <c r="G4" s="7" t="inlineStr">
        <is>
          <t>Ausgegeben an</t>
        </is>
      </c>
      <c r="H4" s="7" t="inlineStr">
        <is>
          <t>Zustand</t>
        </is>
      </c>
      <c r="I4" s="7" t="inlineStr">
        <is>
          <t>Rückgabe bis</t>
        </is>
      </c>
    </row>
    <row r="5">
      <c r="A5" s="9" t="n"/>
      <c r="B5" s="9" t="n"/>
      <c r="C5" s="9" t="n"/>
      <c r="D5" s="9" t="n"/>
      <c r="E5" s="10" t="n"/>
      <c r="F5" s="11" t="n"/>
      <c r="G5" s="9" t="n"/>
      <c r="H5" s="9" t="n"/>
      <c r="I5" s="10" t="n"/>
    </row>
    <row r="6">
      <c r="A6" s="9" t="n"/>
      <c r="B6" s="9" t="n"/>
      <c r="C6" s="9" t="n"/>
      <c r="D6" s="9" t="n"/>
      <c r="E6" s="10" t="n"/>
      <c r="F6" s="11" t="n"/>
      <c r="G6" s="9" t="n"/>
      <c r="H6" s="9" t="n"/>
      <c r="I6" s="10" t="n"/>
    </row>
    <row r="7">
      <c r="A7" s="9" t="n"/>
      <c r="B7" s="9" t="n"/>
      <c r="C7" s="9" t="n"/>
      <c r="D7" s="9" t="n"/>
      <c r="E7" s="10" t="n"/>
      <c r="F7" s="11" t="n"/>
      <c r="G7" s="9" t="n"/>
      <c r="H7" s="9" t="n"/>
      <c r="I7" s="10" t="n"/>
    </row>
    <row r="8">
      <c r="A8" s="9" t="n"/>
      <c r="B8" s="9" t="n"/>
      <c r="C8" s="9" t="n"/>
      <c r="D8" s="9" t="n"/>
      <c r="E8" s="10" t="n"/>
      <c r="F8" s="11" t="n"/>
      <c r="G8" s="9" t="n"/>
      <c r="H8" s="9" t="n"/>
      <c r="I8" s="10" t="n"/>
    </row>
    <row r="9">
      <c r="A9" s="9" t="n"/>
      <c r="B9" s="9" t="n"/>
      <c r="C9" s="9" t="n"/>
      <c r="D9" s="9" t="n"/>
      <c r="E9" s="10" t="n"/>
      <c r="F9" s="11" t="n"/>
      <c r="G9" s="9" t="n"/>
      <c r="H9" s="9" t="n"/>
      <c r="I9" s="10" t="n"/>
    </row>
    <row r="10">
      <c r="A10" s="9" t="n"/>
      <c r="B10" s="9" t="n"/>
      <c r="C10" s="9" t="n"/>
      <c r="D10" s="9" t="n"/>
      <c r="E10" s="10" t="n"/>
      <c r="F10" s="11" t="n"/>
      <c r="G10" s="9" t="n"/>
      <c r="H10" s="9" t="n"/>
      <c r="I10" s="10" t="n"/>
    </row>
    <row r="11">
      <c r="A11" s="9" t="n"/>
      <c r="B11" s="9" t="n"/>
      <c r="C11" s="9" t="n"/>
      <c r="D11" s="9" t="n"/>
      <c r="E11" s="10" t="n"/>
      <c r="F11" s="11" t="n"/>
      <c r="G11" s="9" t="n"/>
      <c r="H11" s="9" t="n"/>
      <c r="I11" s="10" t="n"/>
    </row>
    <row r="12">
      <c r="A12" s="9" t="n"/>
      <c r="B12" s="9" t="n"/>
      <c r="C12" s="9" t="n"/>
      <c r="D12" s="9" t="n"/>
      <c r="E12" s="10" t="n"/>
      <c r="F12" s="11" t="n"/>
      <c r="G12" s="9" t="n"/>
      <c r="H12" s="9" t="n"/>
      <c r="I12" s="10" t="n"/>
    </row>
    <row r="13">
      <c r="A13" s="9" t="n"/>
      <c r="B13" s="9" t="n"/>
      <c r="C13" s="9" t="n"/>
      <c r="D13" s="9" t="n"/>
      <c r="E13" s="10" t="n"/>
      <c r="F13" s="11" t="n"/>
      <c r="G13" s="9" t="n"/>
      <c r="H13" s="9" t="n"/>
      <c r="I13" s="10" t="n"/>
    </row>
    <row r="14">
      <c r="A14" s="9" t="n"/>
      <c r="B14" s="9" t="n"/>
      <c r="C14" s="9" t="n"/>
      <c r="D14" s="9" t="n"/>
      <c r="E14" s="10" t="n"/>
      <c r="F14" s="11" t="n"/>
      <c r="G14" s="9" t="n"/>
      <c r="H14" s="9" t="n"/>
      <c r="I14" s="10" t="n"/>
    </row>
    <row r="15">
      <c r="A15" s="9" t="n"/>
      <c r="B15" s="9" t="n"/>
      <c r="C15" s="9" t="n"/>
      <c r="D15" s="9" t="n"/>
      <c r="E15" s="10" t="n"/>
      <c r="F15" s="11" t="n"/>
      <c r="G15" s="9" t="n"/>
      <c r="H15" s="9" t="n"/>
      <c r="I15" s="10" t="n"/>
    </row>
    <row r="16">
      <c r="A16" s="9" t="n"/>
      <c r="B16" s="9" t="n"/>
      <c r="C16" s="9" t="n"/>
      <c r="D16" s="9" t="n"/>
      <c r="E16" s="10" t="n"/>
      <c r="F16" s="11" t="n"/>
      <c r="G16" s="9" t="n"/>
      <c r="H16" s="9" t="n"/>
      <c r="I16" s="10" t="n"/>
    </row>
    <row r="17">
      <c r="A17" s="9" t="n"/>
      <c r="B17" s="9" t="n"/>
      <c r="C17" s="9" t="n"/>
      <c r="D17" s="9" t="n"/>
      <c r="E17" s="10" t="n"/>
      <c r="F17" s="11" t="n"/>
      <c r="G17" s="9" t="n"/>
      <c r="H17" s="9" t="n"/>
      <c r="I17" s="10" t="n"/>
    </row>
    <row r="18">
      <c r="A18" s="9" t="n"/>
      <c r="B18" s="9" t="n"/>
      <c r="C18" s="9" t="n"/>
      <c r="D18" s="9" t="n"/>
      <c r="E18" s="10" t="n"/>
      <c r="F18" s="11" t="n"/>
      <c r="G18" s="9" t="n"/>
      <c r="H18" s="9" t="n"/>
      <c r="I18" s="10" t="n"/>
    </row>
    <row r="19">
      <c r="A19" s="9" t="n"/>
      <c r="B19" s="9" t="n"/>
      <c r="C19" s="9" t="n"/>
      <c r="D19" s="9" t="n"/>
      <c r="E19" s="10" t="n"/>
      <c r="F19" s="11" t="n"/>
      <c r="G19" s="9" t="n"/>
      <c r="H19" s="9" t="n"/>
      <c r="I19" s="10" t="n"/>
    </row>
    <row r="20">
      <c r="A20" s="9" t="n"/>
      <c r="B20" s="9" t="n"/>
      <c r="C20" s="9" t="n"/>
      <c r="D20" s="9" t="n"/>
      <c r="E20" s="10" t="n"/>
      <c r="F20" s="11" t="n"/>
      <c r="G20" s="9" t="n"/>
      <c r="H20" s="9" t="n"/>
      <c r="I20" s="10" t="n"/>
    </row>
    <row r="21">
      <c r="A21" s="9" t="n"/>
      <c r="B21" s="9" t="n"/>
      <c r="C21" s="9" t="n"/>
      <c r="D21" s="9" t="n"/>
      <c r="E21" s="10" t="n"/>
      <c r="F21" s="11" t="n"/>
      <c r="G21" s="9" t="n"/>
      <c r="H21" s="9" t="n"/>
      <c r="I21" s="10" t="n"/>
    </row>
    <row r="22">
      <c r="A22" s="9" t="n"/>
      <c r="B22" s="9" t="n"/>
      <c r="C22" s="9" t="n"/>
      <c r="D22" s="9" t="n"/>
      <c r="E22" s="10" t="n"/>
      <c r="F22" s="11" t="n"/>
      <c r="G22" s="9" t="n"/>
      <c r="H22" s="9" t="n"/>
      <c r="I22" s="10" t="n"/>
    </row>
    <row r="23">
      <c r="A23" s="9" t="n"/>
      <c r="B23" s="9" t="n"/>
      <c r="C23" s="9" t="n"/>
      <c r="D23" s="9" t="n"/>
      <c r="E23" s="10" t="n"/>
      <c r="F23" s="11" t="n"/>
      <c r="G23" s="9" t="n"/>
      <c r="H23" s="9" t="n"/>
      <c r="I23" s="10" t="n"/>
    </row>
    <row r="24">
      <c r="A24" s="9" t="n"/>
      <c r="B24" s="9" t="n"/>
      <c r="C24" s="9" t="n"/>
      <c r="D24" s="9" t="n"/>
      <c r="E24" s="10" t="n"/>
      <c r="F24" s="11" t="n"/>
      <c r="G24" s="9" t="n"/>
      <c r="H24" s="9" t="n"/>
      <c r="I24" s="10" t="n"/>
    </row>
    <row r="25">
      <c r="A25" s="9" t="n"/>
      <c r="B25" s="9" t="n"/>
      <c r="C25" s="9" t="n"/>
      <c r="D25" s="9" t="n"/>
      <c r="E25" s="10" t="n"/>
      <c r="F25" s="11" t="n"/>
      <c r="G25" s="9" t="n"/>
      <c r="H25" s="9" t="n"/>
      <c r="I25" s="10" t="n"/>
    </row>
    <row r="26">
      <c r="A26" s="9" t="n"/>
      <c r="B26" s="9" t="n"/>
      <c r="C26" s="9" t="n"/>
      <c r="D26" s="9" t="n"/>
      <c r="E26" s="10" t="n"/>
      <c r="F26" s="11" t="n"/>
      <c r="G26" s="9" t="n"/>
      <c r="H26" s="9" t="n"/>
      <c r="I26" s="10" t="n"/>
    </row>
    <row r="27">
      <c r="A27" s="9" t="n"/>
      <c r="B27" s="9" t="n"/>
      <c r="C27" s="9" t="n"/>
      <c r="D27" s="9" t="n"/>
      <c r="E27" s="10" t="n"/>
      <c r="F27" s="11" t="n"/>
      <c r="G27" s="9" t="n"/>
      <c r="H27" s="9" t="n"/>
      <c r="I27" s="10" t="n"/>
    </row>
    <row r="28">
      <c r="A28" s="9" t="n"/>
      <c r="B28" s="9" t="n"/>
      <c r="C28" s="9" t="n"/>
      <c r="D28" s="9" t="n"/>
      <c r="E28" s="10" t="n"/>
      <c r="F28" s="11" t="n"/>
      <c r="G28" s="9" t="n"/>
      <c r="H28" s="9" t="n"/>
      <c r="I28" s="10" t="n"/>
    </row>
    <row r="29">
      <c r="A29" s="9" t="n"/>
      <c r="B29" s="9" t="n"/>
      <c r="C29" s="9" t="n"/>
      <c r="D29" s="9" t="n"/>
      <c r="E29" s="10" t="n"/>
      <c r="F29" s="11" t="n"/>
      <c r="G29" s="9" t="n"/>
      <c r="H29" s="9" t="n"/>
      <c r="I29" s="10" t="n"/>
    </row>
    <row r="30">
      <c r="A30" s="9" t="n"/>
      <c r="B30" s="9" t="n"/>
      <c r="C30" s="9" t="n"/>
      <c r="D30" s="9" t="n"/>
      <c r="E30" s="10" t="n"/>
      <c r="F30" s="11" t="n"/>
      <c r="G30" s="9" t="n"/>
      <c r="H30" s="9" t="n"/>
      <c r="I30" s="10" t="n"/>
    </row>
    <row r="31">
      <c r="A31" s="9" t="n"/>
      <c r="B31" s="9" t="n"/>
      <c r="C31" s="9" t="n"/>
      <c r="D31" s="9" t="n"/>
      <c r="E31" s="10" t="n"/>
      <c r="F31" s="11" t="n"/>
      <c r="G31" s="9" t="n"/>
      <c r="H31" s="9" t="n"/>
      <c r="I31" s="10" t="n"/>
    </row>
    <row r="32">
      <c r="A32" s="9" t="n"/>
      <c r="B32" s="9" t="n"/>
      <c r="C32" s="9" t="n"/>
      <c r="D32" s="9" t="n"/>
      <c r="E32" s="10" t="n"/>
      <c r="F32" s="11" t="n"/>
      <c r="G32" s="9" t="n"/>
      <c r="H32" s="9" t="n"/>
      <c r="I32" s="10" t="n"/>
    </row>
    <row r="33">
      <c r="A33" s="9" t="n"/>
      <c r="B33" s="9" t="n"/>
      <c r="C33" s="9" t="n"/>
      <c r="D33" s="9" t="n"/>
      <c r="E33" s="10" t="n"/>
      <c r="F33" s="11" t="n"/>
      <c r="G33" s="9" t="n"/>
      <c r="H33" s="9" t="n"/>
      <c r="I33" s="10" t="n"/>
    </row>
    <row r="34">
      <c r="A34" s="9" t="n"/>
      <c r="B34" s="9" t="n"/>
      <c r="C34" s="9" t="n"/>
      <c r="D34" s="9" t="n"/>
      <c r="E34" s="10" t="n"/>
      <c r="F34" s="11" t="n"/>
      <c r="G34" s="9" t="n"/>
      <c r="H34" s="9" t="n"/>
      <c r="I34" s="10" t="n"/>
    </row>
    <row r="35">
      <c r="A35" s="9" t="n"/>
      <c r="B35" s="9" t="n"/>
      <c r="C35" s="9" t="n"/>
      <c r="D35" s="9" t="n"/>
      <c r="E35" s="10" t="n"/>
      <c r="F35" s="11" t="n"/>
      <c r="G35" s="9" t="n"/>
      <c r="H35" s="9" t="n"/>
      <c r="I35" s="10" t="n"/>
    </row>
    <row r="36">
      <c r="A36" s="9" t="n"/>
      <c r="B36" s="9" t="n"/>
      <c r="C36" s="9" t="n"/>
      <c r="D36" s="9" t="n"/>
      <c r="E36" s="10" t="n"/>
      <c r="F36" s="11" t="n"/>
      <c r="G36" s="9" t="n"/>
      <c r="H36" s="9" t="n"/>
      <c r="I36" s="10" t="n"/>
    </row>
    <row r="37">
      <c r="A37" s="9" t="n"/>
      <c r="B37" s="9" t="n"/>
      <c r="C37" s="9" t="n"/>
      <c r="D37" s="9" t="n"/>
      <c r="E37" s="10" t="n"/>
      <c r="F37" s="11" t="n"/>
      <c r="G37" s="9" t="n"/>
      <c r="H37" s="9" t="n"/>
      <c r="I37" s="10" t="n"/>
    </row>
    <row r="38">
      <c r="A38" s="9" t="n"/>
      <c r="B38" s="9" t="n"/>
      <c r="C38" s="9" t="n"/>
      <c r="D38" s="9" t="n"/>
      <c r="E38" s="10" t="n"/>
      <c r="F38" s="11" t="n"/>
      <c r="G38" s="9" t="n"/>
      <c r="H38" s="9" t="n"/>
      <c r="I38" s="10" t="n"/>
    </row>
    <row r="39">
      <c r="A39" s="9" t="n"/>
      <c r="B39" s="9" t="n"/>
      <c r="C39" s="9" t="n"/>
      <c r="D39" s="9" t="n"/>
      <c r="E39" s="10" t="n"/>
      <c r="F39" s="11" t="n"/>
      <c r="G39" s="9" t="n"/>
      <c r="H39" s="9" t="n"/>
      <c r="I39" s="10" t="n"/>
    </row>
    <row r="40">
      <c r="A40" s="9" t="n"/>
      <c r="B40" s="9" t="n"/>
      <c r="C40" s="9" t="n"/>
      <c r="D40" s="9" t="n"/>
      <c r="E40" s="10" t="n"/>
      <c r="F40" s="11" t="n"/>
      <c r="G40" s="9" t="n"/>
      <c r="H40" s="9" t="n"/>
      <c r="I40" s="10" t="n"/>
    </row>
    <row r="41">
      <c r="A41" s="9" t="n"/>
      <c r="B41" s="9" t="n"/>
      <c r="C41" s="9" t="n"/>
      <c r="D41" s="9" t="n"/>
      <c r="E41" s="10" t="n"/>
      <c r="F41" s="11" t="n"/>
      <c r="G41" s="9" t="n"/>
      <c r="H41" s="9" t="n"/>
      <c r="I41" s="10" t="n"/>
    </row>
    <row r="42">
      <c r="A42" s="9" t="n"/>
      <c r="B42" s="9" t="n"/>
      <c r="C42" s="9" t="n"/>
      <c r="D42" s="9" t="n"/>
      <c r="E42" s="10" t="n"/>
      <c r="F42" s="11" t="n"/>
      <c r="G42" s="9" t="n"/>
      <c r="H42" s="9" t="n"/>
      <c r="I42" s="10" t="n"/>
    </row>
    <row r="43">
      <c r="A43" s="9" t="n"/>
      <c r="B43" s="9" t="n"/>
      <c r="C43" s="9" t="n"/>
      <c r="D43" s="9" t="n"/>
      <c r="E43" s="10" t="n"/>
      <c r="F43" s="11" t="n"/>
      <c r="G43" s="9" t="n"/>
      <c r="H43" s="9" t="n"/>
      <c r="I43" s="10" t="n"/>
    </row>
    <row r="44">
      <c r="A44" s="9" t="n"/>
      <c r="B44" s="9" t="n"/>
      <c r="C44" s="9" t="n"/>
      <c r="D44" s="9" t="n"/>
      <c r="E44" s="10" t="n"/>
      <c r="F44" s="11" t="n"/>
      <c r="G44" s="9" t="n"/>
      <c r="H44" s="9" t="n"/>
      <c r="I44" s="10" t="n"/>
    </row>
    <row r="45">
      <c r="A45" s="9" t="n"/>
      <c r="B45" s="9" t="n"/>
      <c r="C45" s="9" t="n"/>
      <c r="D45" s="9" t="n"/>
      <c r="E45" s="10" t="n"/>
      <c r="F45" s="11" t="n"/>
      <c r="G45" s="9" t="n"/>
      <c r="H45" s="9" t="n"/>
      <c r="I45" s="10" t="n"/>
    </row>
    <row r="46">
      <c r="A46" s="9" t="n"/>
      <c r="B46" s="9" t="n"/>
      <c r="C46" s="9" t="n"/>
      <c r="D46" s="9" t="n"/>
      <c r="E46" s="10" t="n"/>
      <c r="F46" s="11" t="n"/>
      <c r="G46" s="9" t="n"/>
      <c r="H46" s="9" t="n"/>
      <c r="I46" s="10" t="n"/>
    </row>
    <row r="47">
      <c r="A47" s="9" t="n"/>
      <c r="B47" s="9" t="n"/>
      <c r="C47" s="9" t="n"/>
      <c r="D47" s="9" t="n"/>
      <c r="E47" s="10" t="n"/>
      <c r="F47" s="11" t="n"/>
      <c r="G47" s="9" t="n"/>
      <c r="H47" s="9" t="n"/>
      <c r="I47" s="10" t="n"/>
    </row>
    <row r="48">
      <c r="A48" s="9" t="n"/>
      <c r="B48" s="9" t="n"/>
      <c r="C48" s="9" t="n"/>
      <c r="D48" s="9" t="n"/>
      <c r="E48" s="10" t="n"/>
      <c r="F48" s="11" t="n"/>
      <c r="G48" s="9" t="n"/>
      <c r="H48" s="9" t="n"/>
      <c r="I48" s="10" t="n"/>
    </row>
    <row r="49">
      <c r="A49" s="9" t="n"/>
      <c r="B49" s="9" t="n"/>
      <c r="C49" s="9" t="n"/>
      <c r="D49" s="9" t="n"/>
      <c r="E49" s="10" t="n"/>
      <c r="F49" s="11" t="n"/>
      <c r="G49" s="9" t="n"/>
      <c r="H49" s="9" t="n"/>
      <c r="I49" s="10" t="n"/>
    </row>
    <row r="50">
      <c r="A50" s="9" t="n"/>
      <c r="B50" s="9" t="n"/>
      <c r="C50" s="9" t="n"/>
      <c r="D50" s="9" t="n"/>
      <c r="E50" s="10" t="n"/>
      <c r="F50" s="11" t="n"/>
      <c r="G50" s="9" t="n"/>
      <c r="H50" s="9" t="n"/>
      <c r="I50" s="10" t="n"/>
    </row>
    <row r="51">
      <c r="A51" s="9" t="n"/>
      <c r="B51" s="9" t="n"/>
      <c r="C51" s="9" t="n"/>
      <c r="D51" s="9" t="n"/>
      <c r="E51" s="10" t="n"/>
      <c r="F51" s="11" t="n"/>
      <c r="G51" s="9" t="n"/>
      <c r="H51" s="9" t="n"/>
      <c r="I51" s="10" t="n"/>
    </row>
    <row r="52">
      <c r="A52" s="9" t="n"/>
      <c r="B52" s="9" t="n"/>
      <c r="C52" s="9" t="n"/>
      <c r="D52" s="9" t="n"/>
      <c r="E52" s="10" t="n"/>
      <c r="F52" s="11" t="n"/>
      <c r="G52" s="9" t="n"/>
      <c r="H52" s="9" t="n"/>
      <c r="I52" s="10" t="n"/>
    </row>
    <row r="53">
      <c r="A53" s="9" t="n"/>
      <c r="B53" s="9" t="n"/>
      <c r="C53" s="9" t="n"/>
      <c r="D53" s="9" t="n"/>
      <c r="E53" s="10" t="n"/>
      <c r="F53" s="11" t="n"/>
      <c r="G53" s="9" t="n"/>
      <c r="H53" s="9" t="n"/>
      <c r="I53" s="10" t="n"/>
    </row>
    <row r="54">
      <c r="A54" s="9" t="n"/>
      <c r="B54" s="9" t="n"/>
      <c r="C54" s="9" t="n"/>
      <c r="D54" s="9" t="n"/>
      <c r="E54" s="10" t="n"/>
      <c r="F54" s="11" t="n"/>
      <c r="G54" s="9" t="n"/>
      <c r="H54" s="9" t="n"/>
      <c r="I54" s="10" t="n"/>
    </row>
    <row r="55">
      <c r="A55" s="9" t="n"/>
      <c r="B55" s="9" t="n"/>
      <c r="C55" s="9" t="n"/>
      <c r="D55" s="9" t="n"/>
      <c r="E55" s="10" t="n"/>
      <c r="F55" s="11" t="n"/>
      <c r="G55" s="9" t="n"/>
      <c r="H55" s="9" t="n"/>
      <c r="I55" s="10" t="n"/>
    </row>
    <row r="56">
      <c r="A56" s="9" t="n"/>
      <c r="B56" s="9" t="n"/>
      <c r="C56" s="9" t="n"/>
      <c r="D56" s="9" t="n"/>
      <c r="E56" s="10" t="n"/>
      <c r="F56" s="11" t="n"/>
      <c r="G56" s="9" t="n"/>
      <c r="H56" s="9" t="n"/>
      <c r="I56" s="10" t="n"/>
    </row>
    <row r="57">
      <c r="A57" s="9" t="n"/>
      <c r="B57" s="9" t="n"/>
      <c r="C57" s="9" t="n"/>
      <c r="D57" s="9" t="n"/>
      <c r="E57" s="10" t="n"/>
      <c r="F57" s="11" t="n"/>
      <c r="G57" s="9" t="n"/>
      <c r="H57" s="9" t="n"/>
      <c r="I57" s="10" t="n"/>
    </row>
    <row r="58">
      <c r="A58" s="9" t="n"/>
      <c r="B58" s="9" t="n"/>
      <c r="C58" s="9" t="n"/>
      <c r="D58" s="9" t="n"/>
      <c r="E58" s="10" t="n"/>
      <c r="F58" s="11" t="n"/>
      <c r="G58" s="9" t="n"/>
      <c r="H58" s="9" t="n"/>
      <c r="I58" s="10" t="n"/>
    </row>
    <row r="59">
      <c r="A59" s="9" t="n"/>
      <c r="B59" s="9" t="n"/>
      <c r="C59" s="9" t="n"/>
      <c r="D59" s="9" t="n"/>
      <c r="E59" s="10" t="n"/>
      <c r="F59" s="11" t="n"/>
      <c r="G59" s="9" t="n"/>
      <c r="H59" s="9" t="n"/>
      <c r="I59" s="10" t="n"/>
    </row>
    <row r="60">
      <c r="A60" s="9" t="n"/>
      <c r="B60" s="9" t="n"/>
      <c r="C60" s="9" t="n"/>
      <c r="D60" s="9" t="n"/>
      <c r="E60" s="10" t="n"/>
      <c r="F60" s="11" t="n"/>
      <c r="G60" s="9" t="n"/>
      <c r="H60" s="9" t="n"/>
      <c r="I60" s="10" t="n"/>
    </row>
    <row r="61">
      <c r="A61" s="9" t="n"/>
      <c r="B61" s="9" t="n"/>
      <c r="C61" s="9" t="n"/>
      <c r="D61" s="9" t="n"/>
      <c r="E61" s="10" t="n"/>
      <c r="F61" s="11" t="n"/>
      <c r="G61" s="9" t="n"/>
      <c r="H61" s="9" t="n"/>
      <c r="I61" s="10" t="n"/>
    </row>
    <row r="62">
      <c r="A62" s="9" t="n"/>
      <c r="B62" s="9" t="n"/>
      <c r="C62" s="9" t="n"/>
      <c r="D62" s="9" t="n"/>
      <c r="E62" s="10" t="n"/>
      <c r="F62" s="11" t="n"/>
      <c r="G62" s="9" t="n"/>
      <c r="H62" s="9" t="n"/>
      <c r="I62" s="10" t="n"/>
    </row>
    <row r="63">
      <c r="A63" s="9" t="n"/>
      <c r="B63" s="9" t="n"/>
      <c r="C63" s="9" t="n"/>
      <c r="D63" s="9" t="n"/>
      <c r="E63" s="10" t="n"/>
      <c r="F63" s="11" t="n"/>
      <c r="G63" s="9" t="n"/>
      <c r="H63" s="9" t="n"/>
      <c r="I63" s="10" t="n"/>
    </row>
    <row r="64">
      <c r="A64" s="9" t="n"/>
      <c r="B64" s="9" t="n"/>
      <c r="C64" s="9" t="n"/>
      <c r="D64" s="9" t="n"/>
      <c r="E64" s="10" t="n"/>
      <c r="F64" s="11" t="n"/>
      <c r="G64" s="9" t="n"/>
      <c r="H64" s="9" t="n"/>
      <c r="I64" s="10" t="n"/>
    </row>
  </sheetData>
  <dataValidations count="1">
    <dataValidation sqref="H5:H64" showDropDown="0" showInputMessage="0" showErrorMessage="0" allowBlank="1" type="list">
      <formula1>"neu,gut,gebraucht,defekt,verloren"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E96A3"/>
    <outlinePr summaryBelow="1" summaryRight="1"/>
    <pageSetUpPr/>
  </sheetPr>
  <dimension ref="A1:M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26" customWidth="1" min="13" max="13"/>
  </cols>
  <sheetData>
    <row r="1">
      <c r="A1" s="6" t="inlineStr">
        <is>
          <t>VALIOUX · Scouting &amp; Tryout-Board</t>
        </is>
      </c>
    </row>
    <row r="2">
      <c r="A2" s="5" t="inlineStr">
        <is>
          <t>Gelb = Eingabe · Grau = Formel (nicht überschreiben)</t>
        </is>
      </c>
    </row>
    <row r="4" ht="32" customHeight="1">
      <c r="A4" s="7" t="inlineStr">
        <is>
          <t>Kandidat</t>
        </is>
      </c>
      <c r="B4" s="7" t="inlineStr">
        <is>
          <t>Alter</t>
        </is>
      </c>
      <c r="C4" s="7" t="inlineStr">
        <is>
          <t>Kontakt</t>
        </is>
      </c>
      <c r="D4" s="7" t="inlineStr">
        <is>
          <t>Mechanik</t>
        </is>
      </c>
      <c r="E4" s="7" t="inlineStr">
        <is>
          <t>Game Sense</t>
        </is>
      </c>
      <c r="F4" s="7" t="inlineStr">
        <is>
          <t>Komm.</t>
        </is>
      </c>
      <c r="G4" s="7" t="inlineStr">
        <is>
          <t>Teamfit</t>
        </is>
      </c>
      <c r="H4" s="7" t="inlineStr">
        <is>
          <t>Coachability</t>
        </is>
      </c>
      <c r="I4" s="7" t="inlineStr">
        <is>
          <t>Konstanz</t>
        </is>
      </c>
      <c r="J4" s="7" t="inlineStr">
        <is>
          <t>Content</t>
        </is>
      </c>
      <c r="K4" s="7" t="inlineStr">
        <is>
          <t>Ø Score</t>
        </is>
      </c>
      <c r="L4" s="7" t="inlineStr">
        <is>
          <t>Status</t>
        </is>
      </c>
      <c r="M4" s="7" t="inlineStr">
        <is>
          <t>Notiz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8">
        <f>IF(COUNT(D5:J5)=0,"",ROUND(AVERAGE(D5:J5),2))</f>
        <v/>
      </c>
      <c r="L5" s="9" t="n"/>
      <c r="M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8">
        <f>IF(COUNT(D6:J6)=0,"",ROUND(AVERAGE(D6:J6),2))</f>
        <v/>
      </c>
      <c r="L6" s="9" t="n"/>
      <c r="M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8">
        <f>IF(COUNT(D7:J7)=0,"",ROUND(AVERAGE(D7:J7),2))</f>
        <v/>
      </c>
      <c r="L7" s="9" t="n"/>
      <c r="M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8">
        <f>IF(COUNT(D8:J8)=0,"",ROUND(AVERAGE(D8:J8),2))</f>
        <v/>
      </c>
      <c r="L8" s="9" t="n"/>
      <c r="M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8">
        <f>IF(COUNT(D9:J9)=0,"",ROUND(AVERAGE(D9:J9),2))</f>
        <v/>
      </c>
      <c r="L9" s="9" t="n"/>
      <c r="M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8">
        <f>IF(COUNT(D10:J10)=0,"",ROUND(AVERAGE(D10:J10),2))</f>
        <v/>
      </c>
      <c r="L10" s="9" t="n"/>
      <c r="M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8">
        <f>IF(COUNT(D11:J11)=0,"",ROUND(AVERAGE(D11:J11),2))</f>
        <v/>
      </c>
      <c r="L11" s="9" t="n"/>
      <c r="M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8">
        <f>IF(COUNT(D12:J12)=0,"",ROUND(AVERAGE(D12:J12),2))</f>
        <v/>
      </c>
      <c r="L12" s="9" t="n"/>
      <c r="M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8">
        <f>IF(COUNT(D13:J13)=0,"",ROUND(AVERAGE(D13:J13),2))</f>
        <v/>
      </c>
      <c r="L13" s="9" t="n"/>
      <c r="M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8">
        <f>IF(COUNT(D14:J14)=0,"",ROUND(AVERAGE(D14:J14),2))</f>
        <v/>
      </c>
      <c r="L14" s="9" t="n"/>
      <c r="M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8">
        <f>IF(COUNT(D15:J15)=0,"",ROUND(AVERAGE(D15:J15),2))</f>
        <v/>
      </c>
      <c r="L15" s="9" t="n"/>
      <c r="M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8">
        <f>IF(COUNT(D16:J16)=0,"",ROUND(AVERAGE(D16:J16),2))</f>
        <v/>
      </c>
      <c r="L16" s="9" t="n"/>
      <c r="M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8">
        <f>IF(COUNT(D17:J17)=0,"",ROUND(AVERAGE(D17:J17),2))</f>
        <v/>
      </c>
      <c r="L17" s="9" t="n"/>
      <c r="M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8">
        <f>IF(COUNT(D18:J18)=0,"",ROUND(AVERAGE(D18:J18),2))</f>
        <v/>
      </c>
      <c r="L18" s="9" t="n"/>
      <c r="M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8">
        <f>IF(COUNT(D19:J19)=0,"",ROUND(AVERAGE(D19:J19),2))</f>
        <v/>
      </c>
      <c r="L19" s="9" t="n"/>
      <c r="M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8">
        <f>IF(COUNT(D20:J20)=0,"",ROUND(AVERAGE(D20:J20),2))</f>
        <v/>
      </c>
      <c r="L20" s="9" t="n"/>
      <c r="M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8">
        <f>IF(COUNT(D21:J21)=0,"",ROUND(AVERAGE(D21:J21),2))</f>
        <v/>
      </c>
      <c r="L21" s="9" t="n"/>
      <c r="M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8">
        <f>IF(COUNT(D22:J22)=0,"",ROUND(AVERAGE(D22:J22),2))</f>
        <v/>
      </c>
      <c r="L22" s="9" t="n"/>
      <c r="M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8">
        <f>IF(COUNT(D23:J23)=0,"",ROUND(AVERAGE(D23:J23),2))</f>
        <v/>
      </c>
      <c r="L23" s="9" t="n"/>
      <c r="M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8">
        <f>IF(COUNT(D24:J24)=0,"",ROUND(AVERAGE(D24:J24),2))</f>
        <v/>
      </c>
      <c r="L24" s="9" t="n"/>
      <c r="M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8">
        <f>IF(COUNT(D25:J25)=0,"",ROUND(AVERAGE(D25:J25),2))</f>
        <v/>
      </c>
      <c r="L25" s="9" t="n"/>
      <c r="M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8">
        <f>IF(COUNT(D26:J26)=0,"",ROUND(AVERAGE(D26:J26),2))</f>
        <v/>
      </c>
      <c r="L26" s="9" t="n"/>
      <c r="M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8">
        <f>IF(COUNT(D27:J27)=0,"",ROUND(AVERAGE(D27:J27),2))</f>
        <v/>
      </c>
      <c r="L27" s="9" t="n"/>
      <c r="M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8">
        <f>IF(COUNT(D28:J28)=0,"",ROUND(AVERAGE(D28:J28),2))</f>
        <v/>
      </c>
      <c r="L28" s="9" t="n"/>
      <c r="M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8">
        <f>IF(COUNT(D29:J29)=0,"",ROUND(AVERAGE(D29:J29),2))</f>
        <v/>
      </c>
      <c r="L29" s="9" t="n"/>
      <c r="M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8">
        <f>IF(COUNT(D30:J30)=0,"",ROUND(AVERAGE(D30:J30),2))</f>
        <v/>
      </c>
      <c r="L30" s="9" t="n"/>
      <c r="M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8">
        <f>IF(COUNT(D31:J31)=0,"",ROUND(AVERAGE(D31:J31),2))</f>
        <v/>
      </c>
      <c r="L31" s="9" t="n"/>
      <c r="M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8">
        <f>IF(COUNT(D32:J32)=0,"",ROUND(AVERAGE(D32:J32),2))</f>
        <v/>
      </c>
      <c r="L32" s="9" t="n"/>
      <c r="M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8">
        <f>IF(COUNT(D33:J33)=0,"",ROUND(AVERAGE(D33:J33),2))</f>
        <v/>
      </c>
      <c r="L33" s="9" t="n"/>
      <c r="M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8">
        <f>IF(COUNT(D34:J34)=0,"",ROUND(AVERAGE(D34:J34),2))</f>
        <v/>
      </c>
      <c r="L34" s="9" t="n"/>
      <c r="M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8">
        <f>IF(COUNT(D35:J35)=0,"",ROUND(AVERAGE(D35:J35),2))</f>
        <v/>
      </c>
      <c r="L35" s="9" t="n"/>
      <c r="M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8">
        <f>IF(COUNT(D36:J36)=0,"",ROUND(AVERAGE(D36:J36),2))</f>
        <v/>
      </c>
      <c r="L36" s="9" t="n"/>
      <c r="M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8">
        <f>IF(COUNT(D37:J37)=0,"",ROUND(AVERAGE(D37:J37),2))</f>
        <v/>
      </c>
      <c r="L37" s="9" t="n"/>
      <c r="M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8">
        <f>IF(COUNT(D38:J38)=0,"",ROUND(AVERAGE(D38:J38),2))</f>
        <v/>
      </c>
      <c r="L38" s="9" t="n"/>
      <c r="M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8">
        <f>IF(COUNT(D39:J39)=0,"",ROUND(AVERAGE(D39:J39),2))</f>
        <v/>
      </c>
      <c r="L39" s="9" t="n"/>
      <c r="M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8">
        <f>IF(COUNT(D40:J40)=0,"",ROUND(AVERAGE(D40:J40),2))</f>
        <v/>
      </c>
      <c r="L40" s="9" t="n"/>
      <c r="M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8">
        <f>IF(COUNT(D41:J41)=0,"",ROUND(AVERAGE(D41:J41),2))</f>
        <v/>
      </c>
      <c r="L41" s="9" t="n"/>
      <c r="M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8">
        <f>IF(COUNT(D42:J42)=0,"",ROUND(AVERAGE(D42:J42),2))</f>
        <v/>
      </c>
      <c r="L42" s="9" t="n"/>
      <c r="M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8">
        <f>IF(COUNT(D43:J43)=0,"",ROUND(AVERAGE(D43:J43),2))</f>
        <v/>
      </c>
      <c r="L43" s="9" t="n"/>
      <c r="M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8">
        <f>IF(COUNT(D44:J44)=0,"",ROUND(AVERAGE(D44:J44),2))</f>
        <v/>
      </c>
      <c r="L44" s="9" t="n"/>
      <c r="M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8">
        <f>IF(COUNT(D45:J45)=0,"",ROUND(AVERAGE(D45:J45),2))</f>
        <v/>
      </c>
      <c r="L45" s="9" t="n"/>
      <c r="M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8">
        <f>IF(COUNT(D46:J46)=0,"",ROUND(AVERAGE(D46:J46),2))</f>
        <v/>
      </c>
      <c r="L46" s="9" t="n"/>
      <c r="M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8">
        <f>IF(COUNT(D47:J47)=0,"",ROUND(AVERAGE(D47:J47),2))</f>
        <v/>
      </c>
      <c r="L47" s="9" t="n"/>
      <c r="M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8">
        <f>IF(COUNT(D48:J48)=0,"",ROUND(AVERAGE(D48:J48),2))</f>
        <v/>
      </c>
      <c r="L48" s="9" t="n"/>
      <c r="M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8">
        <f>IF(COUNT(D49:J49)=0,"",ROUND(AVERAGE(D49:J49),2))</f>
        <v/>
      </c>
      <c r="L49" s="9" t="n"/>
      <c r="M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8">
        <f>IF(COUNT(D50:J50)=0,"",ROUND(AVERAGE(D50:J50),2))</f>
        <v/>
      </c>
      <c r="L50" s="9" t="n"/>
      <c r="M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8">
        <f>IF(COUNT(D51:J51)=0,"",ROUND(AVERAGE(D51:J51),2))</f>
        <v/>
      </c>
      <c r="L51" s="9" t="n"/>
      <c r="M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8">
        <f>IF(COUNT(D52:J52)=0,"",ROUND(AVERAGE(D52:J52),2))</f>
        <v/>
      </c>
      <c r="L52" s="9" t="n"/>
      <c r="M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8">
        <f>IF(COUNT(D53:J53)=0,"",ROUND(AVERAGE(D53:J53),2))</f>
        <v/>
      </c>
      <c r="L53" s="9" t="n"/>
      <c r="M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8">
        <f>IF(COUNT(D54:J54)=0,"",ROUND(AVERAGE(D54:J54),2))</f>
        <v/>
      </c>
      <c r="L54" s="9" t="n"/>
      <c r="M54" s="9" t="n"/>
    </row>
  </sheetData>
  <conditionalFormatting sqref="K5:K54">
    <cfRule type="cellIs" priority="1" operator="greaterThanOrEqual" dxfId="2">
      <formula>4</formula>
    </cfRule>
  </conditionalFormatting>
  <dataValidations count="2">
    <dataValidation sqref="L5:L54" showDropDown="0" showInputMessage="0" showErrorMessage="0" allowBlank="1" type="list">
      <formula1>"Sichtung,Tryout,Trial,Angebot,Aufgenommen,Absage"</formula1>
    </dataValidation>
    <dataValidation sqref="D5:J54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E96A3"/>
    <outlinePr summaryBelow="1" summaryRight="1"/>
    <pageSetUpPr/>
  </sheetPr>
  <dimension ref="A1:G1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4" customWidth="1" min="4" max="4"/>
    <col width="18" customWidth="1" min="5" max="5"/>
    <col width="16" customWidth="1" min="6" max="6"/>
    <col width="16" customWidth="1" min="7" max="7"/>
  </cols>
  <sheetData>
    <row r="1">
      <c r="A1" s="6" t="inlineStr">
        <is>
          <t>VALIOUX · Content- &amp; Post-Kalender</t>
        </is>
      </c>
    </row>
    <row r="2">
      <c r="A2" s="5" t="inlineStr">
        <is>
          <t>Gelb = Eingabe · Grau = Formel (nicht überschreiben)</t>
        </is>
      </c>
    </row>
    <row r="4" ht="32" customHeight="1">
      <c r="A4" s="7" t="inlineStr">
        <is>
          <t>Datum</t>
        </is>
      </c>
      <c r="B4" s="7" t="inlineStr">
        <is>
          <t>Zeit</t>
        </is>
      </c>
      <c r="C4" s="7" t="inlineStr">
        <is>
          <t>Kanal</t>
        </is>
      </c>
      <c r="D4" s="7" t="inlineStr">
        <is>
          <t>Inhalt / Idee</t>
        </is>
      </c>
      <c r="E4" s="7" t="inlineStr">
        <is>
          <t>Format</t>
        </is>
      </c>
      <c r="F4" s="7" t="inlineStr">
        <is>
          <t>Verantwortlich</t>
        </is>
      </c>
      <c r="G4" s="7" t="inlineStr">
        <is>
          <t>Status</t>
        </is>
      </c>
    </row>
    <row r="5">
      <c r="A5" s="10" t="n"/>
      <c r="B5" s="9" t="n"/>
      <c r="C5" s="9" t="n"/>
      <c r="D5" s="9" t="n"/>
      <c r="E5" s="9" t="n"/>
      <c r="F5" s="9" t="n"/>
      <c r="G5" s="9" t="n"/>
    </row>
    <row r="6">
      <c r="A6" s="10" t="n"/>
      <c r="B6" s="9" t="n"/>
      <c r="C6" s="9" t="n"/>
      <c r="D6" s="9" t="n"/>
      <c r="E6" s="9" t="n"/>
      <c r="F6" s="9" t="n"/>
      <c r="G6" s="9" t="n"/>
    </row>
    <row r="7">
      <c r="A7" s="10" t="n"/>
      <c r="B7" s="9" t="n"/>
      <c r="C7" s="9" t="n"/>
      <c r="D7" s="9" t="n"/>
      <c r="E7" s="9" t="n"/>
      <c r="F7" s="9" t="n"/>
      <c r="G7" s="9" t="n"/>
    </row>
    <row r="8">
      <c r="A8" s="10" t="n"/>
      <c r="B8" s="9" t="n"/>
      <c r="C8" s="9" t="n"/>
      <c r="D8" s="9" t="n"/>
      <c r="E8" s="9" t="n"/>
      <c r="F8" s="9" t="n"/>
      <c r="G8" s="9" t="n"/>
    </row>
    <row r="9">
      <c r="A9" s="10" t="n"/>
      <c r="B9" s="9" t="n"/>
      <c r="C9" s="9" t="n"/>
      <c r="D9" s="9" t="n"/>
      <c r="E9" s="9" t="n"/>
      <c r="F9" s="9" t="n"/>
      <c r="G9" s="9" t="n"/>
    </row>
    <row r="10">
      <c r="A10" s="10" t="n"/>
      <c r="B10" s="9" t="n"/>
      <c r="C10" s="9" t="n"/>
      <c r="D10" s="9" t="n"/>
      <c r="E10" s="9" t="n"/>
      <c r="F10" s="9" t="n"/>
      <c r="G10" s="9" t="n"/>
    </row>
    <row r="11">
      <c r="A11" s="10" t="n"/>
      <c r="B11" s="9" t="n"/>
      <c r="C11" s="9" t="n"/>
      <c r="D11" s="9" t="n"/>
      <c r="E11" s="9" t="n"/>
      <c r="F11" s="9" t="n"/>
      <c r="G11" s="9" t="n"/>
    </row>
    <row r="12">
      <c r="A12" s="10" t="n"/>
      <c r="B12" s="9" t="n"/>
      <c r="C12" s="9" t="n"/>
      <c r="D12" s="9" t="n"/>
      <c r="E12" s="9" t="n"/>
      <c r="F12" s="9" t="n"/>
      <c r="G12" s="9" t="n"/>
    </row>
    <row r="13">
      <c r="A13" s="10" t="n"/>
      <c r="B13" s="9" t="n"/>
      <c r="C13" s="9" t="n"/>
      <c r="D13" s="9" t="n"/>
      <c r="E13" s="9" t="n"/>
      <c r="F13" s="9" t="n"/>
      <c r="G13" s="9" t="n"/>
    </row>
    <row r="14">
      <c r="A14" s="10" t="n"/>
      <c r="B14" s="9" t="n"/>
      <c r="C14" s="9" t="n"/>
      <c r="D14" s="9" t="n"/>
      <c r="E14" s="9" t="n"/>
      <c r="F14" s="9" t="n"/>
      <c r="G14" s="9" t="n"/>
    </row>
    <row r="15">
      <c r="A15" s="10" t="n"/>
      <c r="B15" s="9" t="n"/>
      <c r="C15" s="9" t="n"/>
      <c r="D15" s="9" t="n"/>
      <c r="E15" s="9" t="n"/>
      <c r="F15" s="9" t="n"/>
      <c r="G15" s="9" t="n"/>
    </row>
    <row r="16">
      <c r="A16" s="10" t="n"/>
      <c r="B16" s="9" t="n"/>
      <c r="C16" s="9" t="n"/>
      <c r="D16" s="9" t="n"/>
      <c r="E16" s="9" t="n"/>
      <c r="F16" s="9" t="n"/>
      <c r="G16" s="9" t="n"/>
    </row>
    <row r="17">
      <c r="A17" s="10" t="n"/>
      <c r="B17" s="9" t="n"/>
      <c r="C17" s="9" t="n"/>
      <c r="D17" s="9" t="n"/>
      <c r="E17" s="9" t="n"/>
      <c r="F17" s="9" t="n"/>
      <c r="G17" s="9" t="n"/>
    </row>
    <row r="18">
      <c r="A18" s="10" t="n"/>
      <c r="B18" s="9" t="n"/>
      <c r="C18" s="9" t="n"/>
      <c r="D18" s="9" t="n"/>
      <c r="E18" s="9" t="n"/>
      <c r="F18" s="9" t="n"/>
      <c r="G18" s="9" t="n"/>
    </row>
    <row r="19">
      <c r="A19" s="10" t="n"/>
      <c r="B19" s="9" t="n"/>
      <c r="C19" s="9" t="n"/>
      <c r="D19" s="9" t="n"/>
      <c r="E19" s="9" t="n"/>
      <c r="F19" s="9" t="n"/>
      <c r="G19" s="9" t="n"/>
    </row>
    <row r="20">
      <c r="A20" s="10" t="n"/>
      <c r="B20" s="9" t="n"/>
      <c r="C20" s="9" t="n"/>
      <c r="D20" s="9" t="n"/>
      <c r="E20" s="9" t="n"/>
      <c r="F20" s="9" t="n"/>
      <c r="G20" s="9" t="n"/>
    </row>
    <row r="21">
      <c r="A21" s="10" t="n"/>
      <c r="B21" s="9" t="n"/>
      <c r="C21" s="9" t="n"/>
      <c r="D21" s="9" t="n"/>
      <c r="E21" s="9" t="n"/>
      <c r="F21" s="9" t="n"/>
      <c r="G21" s="9" t="n"/>
    </row>
    <row r="22">
      <c r="A22" s="10" t="n"/>
      <c r="B22" s="9" t="n"/>
      <c r="C22" s="9" t="n"/>
      <c r="D22" s="9" t="n"/>
      <c r="E22" s="9" t="n"/>
      <c r="F22" s="9" t="n"/>
      <c r="G22" s="9" t="n"/>
    </row>
    <row r="23">
      <c r="A23" s="10" t="n"/>
      <c r="B23" s="9" t="n"/>
      <c r="C23" s="9" t="n"/>
      <c r="D23" s="9" t="n"/>
      <c r="E23" s="9" t="n"/>
      <c r="F23" s="9" t="n"/>
      <c r="G23" s="9" t="n"/>
    </row>
    <row r="24">
      <c r="A24" s="10" t="n"/>
      <c r="B24" s="9" t="n"/>
      <c r="C24" s="9" t="n"/>
      <c r="D24" s="9" t="n"/>
      <c r="E24" s="9" t="n"/>
      <c r="F24" s="9" t="n"/>
      <c r="G24" s="9" t="n"/>
    </row>
    <row r="25">
      <c r="A25" s="10" t="n"/>
      <c r="B25" s="9" t="n"/>
      <c r="C25" s="9" t="n"/>
      <c r="D25" s="9" t="n"/>
      <c r="E25" s="9" t="n"/>
      <c r="F25" s="9" t="n"/>
      <c r="G25" s="9" t="n"/>
    </row>
    <row r="26">
      <c r="A26" s="10" t="n"/>
      <c r="B26" s="9" t="n"/>
      <c r="C26" s="9" t="n"/>
      <c r="D26" s="9" t="n"/>
      <c r="E26" s="9" t="n"/>
      <c r="F26" s="9" t="n"/>
      <c r="G26" s="9" t="n"/>
    </row>
    <row r="27">
      <c r="A27" s="10" t="n"/>
      <c r="B27" s="9" t="n"/>
      <c r="C27" s="9" t="n"/>
      <c r="D27" s="9" t="n"/>
      <c r="E27" s="9" t="n"/>
      <c r="F27" s="9" t="n"/>
      <c r="G27" s="9" t="n"/>
    </row>
    <row r="28">
      <c r="A28" s="10" t="n"/>
      <c r="B28" s="9" t="n"/>
      <c r="C28" s="9" t="n"/>
      <c r="D28" s="9" t="n"/>
      <c r="E28" s="9" t="n"/>
      <c r="F28" s="9" t="n"/>
      <c r="G28" s="9" t="n"/>
    </row>
    <row r="29">
      <c r="A29" s="10" t="n"/>
      <c r="B29" s="9" t="n"/>
      <c r="C29" s="9" t="n"/>
      <c r="D29" s="9" t="n"/>
      <c r="E29" s="9" t="n"/>
      <c r="F29" s="9" t="n"/>
      <c r="G29" s="9" t="n"/>
    </row>
    <row r="30">
      <c r="A30" s="10" t="n"/>
      <c r="B30" s="9" t="n"/>
      <c r="C30" s="9" t="n"/>
      <c r="D30" s="9" t="n"/>
      <c r="E30" s="9" t="n"/>
      <c r="F30" s="9" t="n"/>
      <c r="G30" s="9" t="n"/>
    </row>
    <row r="31">
      <c r="A31" s="10" t="n"/>
      <c r="B31" s="9" t="n"/>
      <c r="C31" s="9" t="n"/>
      <c r="D31" s="9" t="n"/>
      <c r="E31" s="9" t="n"/>
      <c r="F31" s="9" t="n"/>
      <c r="G31" s="9" t="n"/>
    </row>
    <row r="32">
      <c r="A32" s="10" t="n"/>
      <c r="B32" s="9" t="n"/>
      <c r="C32" s="9" t="n"/>
      <c r="D32" s="9" t="n"/>
      <c r="E32" s="9" t="n"/>
      <c r="F32" s="9" t="n"/>
      <c r="G32" s="9" t="n"/>
    </row>
    <row r="33">
      <c r="A33" s="10" t="n"/>
      <c r="B33" s="9" t="n"/>
      <c r="C33" s="9" t="n"/>
      <c r="D33" s="9" t="n"/>
      <c r="E33" s="9" t="n"/>
      <c r="F33" s="9" t="n"/>
      <c r="G33" s="9" t="n"/>
    </row>
    <row r="34">
      <c r="A34" s="10" t="n"/>
      <c r="B34" s="9" t="n"/>
      <c r="C34" s="9" t="n"/>
      <c r="D34" s="9" t="n"/>
      <c r="E34" s="9" t="n"/>
      <c r="F34" s="9" t="n"/>
      <c r="G34" s="9" t="n"/>
    </row>
    <row r="35">
      <c r="A35" s="10" t="n"/>
      <c r="B35" s="9" t="n"/>
      <c r="C35" s="9" t="n"/>
      <c r="D35" s="9" t="n"/>
      <c r="E35" s="9" t="n"/>
      <c r="F35" s="9" t="n"/>
      <c r="G35" s="9" t="n"/>
    </row>
    <row r="36">
      <c r="A36" s="10" t="n"/>
      <c r="B36" s="9" t="n"/>
      <c r="C36" s="9" t="n"/>
      <c r="D36" s="9" t="n"/>
      <c r="E36" s="9" t="n"/>
      <c r="F36" s="9" t="n"/>
      <c r="G36" s="9" t="n"/>
    </row>
    <row r="37">
      <c r="A37" s="10" t="n"/>
      <c r="B37" s="9" t="n"/>
      <c r="C37" s="9" t="n"/>
      <c r="D37" s="9" t="n"/>
      <c r="E37" s="9" t="n"/>
      <c r="F37" s="9" t="n"/>
      <c r="G37" s="9" t="n"/>
    </row>
    <row r="38">
      <c r="A38" s="10" t="n"/>
      <c r="B38" s="9" t="n"/>
      <c r="C38" s="9" t="n"/>
      <c r="D38" s="9" t="n"/>
      <c r="E38" s="9" t="n"/>
      <c r="F38" s="9" t="n"/>
      <c r="G38" s="9" t="n"/>
    </row>
    <row r="39">
      <c r="A39" s="10" t="n"/>
      <c r="B39" s="9" t="n"/>
      <c r="C39" s="9" t="n"/>
      <c r="D39" s="9" t="n"/>
      <c r="E39" s="9" t="n"/>
      <c r="F39" s="9" t="n"/>
      <c r="G39" s="9" t="n"/>
    </row>
    <row r="40">
      <c r="A40" s="10" t="n"/>
      <c r="B40" s="9" t="n"/>
      <c r="C40" s="9" t="n"/>
      <c r="D40" s="9" t="n"/>
      <c r="E40" s="9" t="n"/>
      <c r="F40" s="9" t="n"/>
      <c r="G40" s="9" t="n"/>
    </row>
    <row r="41">
      <c r="A41" s="10" t="n"/>
      <c r="B41" s="9" t="n"/>
      <c r="C41" s="9" t="n"/>
      <c r="D41" s="9" t="n"/>
      <c r="E41" s="9" t="n"/>
      <c r="F41" s="9" t="n"/>
      <c r="G41" s="9" t="n"/>
    </row>
    <row r="42">
      <c r="A42" s="10" t="n"/>
      <c r="B42" s="9" t="n"/>
      <c r="C42" s="9" t="n"/>
      <c r="D42" s="9" t="n"/>
      <c r="E42" s="9" t="n"/>
      <c r="F42" s="9" t="n"/>
      <c r="G42" s="9" t="n"/>
    </row>
    <row r="43">
      <c r="A43" s="10" t="n"/>
      <c r="B43" s="9" t="n"/>
      <c r="C43" s="9" t="n"/>
      <c r="D43" s="9" t="n"/>
      <c r="E43" s="9" t="n"/>
      <c r="F43" s="9" t="n"/>
      <c r="G43" s="9" t="n"/>
    </row>
    <row r="44">
      <c r="A44" s="10" t="n"/>
      <c r="B44" s="9" t="n"/>
      <c r="C44" s="9" t="n"/>
      <c r="D44" s="9" t="n"/>
      <c r="E44" s="9" t="n"/>
      <c r="F44" s="9" t="n"/>
      <c r="G44" s="9" t="n"/>
    </row>
    <row r="45">
      <c r="A45" s="10" t="n"/>
      <c r="B45" s="9" t="n"/>
      <c r="C45" s="9" t="n"/>
      <c r="D45" s="9" t="n"/>
      <c r="E45" s="9" t="n"/>
      <c r="F45" s="9" t="n"/>
      <c r="G45" s="9" t="n"/>
    </row>
    <row r="46">
      <c r="A46" s="10" t="n"/>
      <c r="B46" s="9" t="n"/>
      <c r="C46" s="9" t="n"/>
      <c r="D46" s="9" t="n"/>
      <c r="E46" s="9" t="n"/>
      <c r="F46" s="9" t="n"/>
      <c r="G46" s="9" t="n"/>
    </row>
    <row r="47">
      <c r="A47" s="10" t="n"/>
      <c r="B47" s="9" t="n"/>
      <c r="C47" s="9" t="n"/>
      <c r="D47" s="9" t="n"/>
      <c r="E47" s="9" t="n"/>
      <c r="F47" s="9" t="n"/>
      <c r="G47" s="9" t="n"/>
    </row>
    <row r="48">
      <c r="A48" s="10" t="n"/>
      <c r="B48" s="9" t="n"/>
      <c r="C48" s="9" t="n"/>
      <c r="D48" s="9" t="n"/>
      <c r="E48" s="9" t="n"/>
      <c r="F48" s="9" t="n"/>
      <c r="G48" s="9" t="n"/>
    </row>
    <row r="49">
      <c r="A49" s="10" t="n"/>
      <c r="B49" s="9" t="n"/>
      <c r="C49" s="9" t="n"/>
      <c r="D49" s="9" t="n"/>
      <c r="E49" s="9" t="n"/>
      <c r="F49" s="9" t="n"/>
      <c r="G49" s="9" t="n"/>
    </row>
    <row r="50">
      <c r="A50" s="10" t="n"/>
      <c r="B50" s="9" t="n"/>
      <c r="C50" s="9" t="n"/>
      <c r="D50" s="9" t="n"/>
      <c r="E50" s="9" t="n"/>
      <c r="F50" s="9" t="n"/>
      <c r="G50" s="9" t="n"/>
    </row>
    <row r="51">
      <c r="A51" s="10" t="n"/>
      <c r="B51" s="9" t="n"/>
      <c r="C51" s="9" t="n"/>
      <c r="D51" s="9" t="n"/>
      <c r="E51" s="9" t="n"/>
      <c r="F51" s="9" t="n"/>
      <c r="G51" s="9" t="n"/>
    </row>
    <row r="52">
      <c r="A52" s="10" t="n"/>
      <c r="B52" s="9" t="n"/>
      <c r="C52" s="9" t="n"/>
      <c r="D52" s="9" t="n"/>
      <c r="E52" s="9" t="n"/>
      <c r="F52" s="9" t="n"/>
      <c r="G52" s="9" t="n"/>
    </row>
    <row r="53">
      <c r="A53" s="10" t="n"/>
      <c r="B53" s="9" t="n"/>
      <c r="C53" s="9" t="n"/>
      <c r="D53" s="9" t="n"/>
      <c r="E53" s="9" t="n"/>
      <c r="F53" s="9" t="n"/>
      <c r="G53" s="9" t="n"/>
    </row>
    <row r="54">
      <c r="A54" s="10" t="n"/>
      <c r="B54" s="9" t="n"/>
      <c r="C54" s="9" t="n"/>
      <c r="D54" s="9" t="n"/>
      <c r="E54" s="9" t="n"/>
      <c r="F54" s="9" t="n"/>
      <c r="G54" s="9" t="n"/>
    </row>
    <row r="55">
      <c r="A55" s="10" t="n"/>
      <c r="B55" s="9" t="n"/>
      <c r="C55" s="9" t="n"/>
      <c r="D55" s="9" t="n"/>
      <c r="E55" s="9" t="n"/>
      <c r="F55" s="9" t="n"/>
      <c r="G55" s="9" t="n"/>
    </row>
    <row r="56">
      <c r="A56" s="10" t="n"/>
      <c r="B56" s="9" t="n"/>
      <c r="C56" s="9" t="n"/>
      <c r="D56" s="9" t="n"/>
      <c r="E56" s="9" t="n"/>
      <c r="F56" s="9" t="n"/>
      <c r="G56" s="9" t="n"/>
    </row>
    <row r="57">
      <c r="A57" s="10" t="n"/>
      <c r="B57" s="9" t="n"/>
      <c r="C57" s="9" t="n"/>
      <c r="D57" s="9" t="n"/>
      <c r="E57" s="9" t="n"/>
      <c r="F57" s="9" t="n"/>
      <c r="G57" s="9" t="n"/>
    </row>
    <row r="58">
      <c r="A58" s="10" t="n"/>
      <c r="B58" s="9" t="n"/>
      <c r="C58" s="9" t="n"/>
      <c r="D58" s="9" t="n"/>
      <c r="E58" s="9" t="n"/>
      <c r="F58" s="9" t="n"/>
      <c r="G58" s="9" t="n"/>
    </row>
    <row r="59">
      <c r="A59" s="10" t="n"/>
      <c r="B59" s="9" t="n"/>
      <c r="C59" s="9" t="n"/>
      <c r="D59" s="9" t="n"/>
      <c r="E59" s="9" t="n"/>
      <c r="F59" s="9" t="n"/>
      <c r="G59" s="9" t="n"/>
    </row>
    <row r="60">
      <c r="A60" s="10" t="n"/>
      <c r="B60" s="9" t="n"/>
      <c r="C60" s="9" t="n"/>
      <c r="D60" s="9" t="n"/>
      <c r="E60" s="9" t="n"/>
      <c r="F60" s="9" t="n"/>
      <c r="G60" s="9" t="n"/>
    </row>
    <row r="61">
      <c r="A61" s="10" t="n"/>
      <c r="B61" s="9" t="n"/>
      <c r="C61" s="9" t="n"/>
      <c r="D61" s="9" t="n"/>
      <c r="E61" s="9" t="n"/>
      <c r="F61" s="9" t="n"/>
      <c r="G61" s="9" t="n"/>
    </row>
    <row r="62">
      <c r="A62" s="10" t="n"/>
      <c r="B62" s="9" t="n"/>
      <c r="C62" s="9" t="n"/>
      <c r="D62" s="9" t="n"/>
      <c r="E62" s="9" t="n"/>
      <c r="F62" s="9" t="n"/>
      <c r="G62" s="9" t="n"/>
    </row>
    <row r="63">
      <c r="A63" s="10" t="n"/>
      <c r="B63" s="9" t="n"/>
      <c r="C63" s="9" t="n"/>
      <c r="D63" s="9" t="n"/>
      <c r="E63" s="9" t="n"/>
      <c r="F63" s="9" t="n"/>
      <c r="G63" s="9" t="n"/>
    </row>
    <row r="64">
      <c r="A64" s="10" t="n"/>
      <c r="B64" s="9" t="n"/>
      <c r="C64" s="9" t="n"/>
      <c r="D64" s="9" t="n"/>
      <c r="E64" s="9" t="n"/>
      <c r="F64" s="9" t="n"/>
      <c r="G64" s="9" t="n"/>
    </row>
    <row r="65">
      <c r="A65" s="10" t="n"/>
      <c r="B65" s="9" t="n"/>
      <c r="C65" s="9" t="n"/>
      <c r="D65" s="9" t="n"/>
      <c r="E65" s="9" t="n"/>
      <c r="F65" s="9" t="n"/>
      <c r="G65" s="9" t="n"/>
    </row>
    <row r="66">
      <c r="A66" s="10" t="n"/>
      <c r="B66" s="9" t="n"/>
      <c r="C66" s="9" t="n"/>
      <c r="D66" s="9" t="n"/>
      <c r="E66" s="9" t="n"/>
      <c r="F66" s="9" t="n"/>
      <c r="G66" s="9" t="n"/>
    </row>
    <row r="67">
      <c r="A67" s="10" t="n"/>
      <c r="B67" s="9" t="n"/>
      <c r="C67" s="9" t="n"/>
      <c r="D67" s="9" t="n"/>
      <c r="E67" s="9" t="n"/>
      <c r="F67" s="9" t="n"/>
      <c r="G67" s="9" t="n"/>
    </row>
    <row r="68">
      <c r="A68" s="10" t="n"/>
      <c r="B68" s="9" t="n"/>
      <c r="C68" s="9" t="n"/>
      <c r="D68" s="9" t="n"/>
      <c r="E68" s="9" t="n"/>
      <c r="F68" s="9" t="n"/>
      <c r="G68" s="9" t="n"/>
    </row>
    <row r="69">
      <c r="A69" s="10" t="n"/>
      <c r="B69" s="9" t="n"/>
      <c r="C69" s="9" t="n"/>
      <c r="D69" s="9" t="n"/>
      <c r="E69" s="9" t="n"/>
      <c r="F69" s="9" t="n"/>
      <c r="G69" s="9" t="n"/>
    </row>
    <row r="70">
      <c r="A70" s="10" t="n"/>
      <c r="B70" s="9" t="n"/>
      <c r="C70" s="9" t="n"/>
      <c r="D70" s="9" t="n"/>
      <c r="E70" s="9" t="n"/>
      <c r="F70" s="9" t="n"/>
      <c r="G70" s="9" t="n"/>
    </row>
    <row r="71">
      <c r="A71" s="10" t="n"/>
      <c r="B71" s="9" t="n"/>
      <c r="C71" s="9" t="n"/>
      <c r="D71" s="9" t="n"/>
      <c r="E71" s="9" t="n"/>
      <c r="F71" s="9" t="n"/>
      <c r="G71" s="9" t="n"/>
    </row>
    <row r="72">
      <c r="A72" s="10" t="n"/>
      <c r="B72" s="9" t="n"/>
      <c r="C72" s="9" t="n"/>
      <c r="D72" s="9" t="n"/>
      <c r="E72" s="9" t="n"/>
      <c r="F72" s="9" t="n"/>
      <c r="G72" s="9" t="n"/>
    </row>
    <row r="73">
      <c r="A73" s="10" t="n"/>
      <c r="B73" s="9" t="n"/>
      <c r="C73" s="9" t="n"/>
      <c r="D73" s="9" t="n"/>
      <c r="E73" s="9" t="n"/>
      <c r="F73" s="9" t="n"/>
      <c r="G73" s="9" t="n"/>
    </row>
    <row r="74">
      <c r="A74" s="10" t="n"/>
      <c r="B74" s="9" t="n"/>
      <c r="C74" s="9" t="n"/>
      <c r="D74" s="9" t="n"/>
      <c r="E74" s="9" t="n"/>
      <c r="F74" s="9" t="n"/>
      <c r="G74" s="9" t="n"/>
    </row>
    <row r="75">
      <c r="A75" s="10" t="n"/>
      <c r="B75" s="9" t="n"/>
      <c r="C75" s="9" t="n"/>
      <c r="D75" s="9" t="n"/>
      <c r="E75" s="9" t="n"/>
      <c r="F75" s="9" t="n"/>
      <c r="G75" s="9" t="n"/>
    </row>
    <row r="76">
      <c r="A76" s="10" t="n"/>
      <c r="B76" s="9" t="n"/>
      <c r="C76" s="9" t="n"/>
      <c r="D76" s="9" t="n"/>
      <c r="E76" s="9" t="n"/>
      <c r="F76" s="9" t="n"/>
      <c r="G76" s="9" t="n"/>
    </row>
    <row r="77">
      <c r="A77" s="10" t="n"/>
      <c r="B77" s="9" t="n"/>
      <c r="C77" s="9" t="n"/>
      <c r="D77" s="9" t="n"/>
      <c r="E77" s="9" t="n"/>
      <c r="F77" s="9" t="n"/>
      <c r="G77" s="9" t="n"/>
    </row>
    <row r="78">
      <c r="A78" s="10" t="n"/>
      <c r="B78" s="9" t="n"/>
      <c r="C78" s="9" t="n"/>
      <c r="D78" s="9" t="n"/>
      <c r="E78" s="9" t="n"/>
      <c r="F78" s="9" t="n"/>
      <c r="G78" s="9" t="n"/>
    </row>
    <row r="79">
      <c r="A79" s="10" t="n"/>
      <c r="B79" s="9" t="n"/>
      <c r="C79" s="9" t="n"/>
      <c r="D79" s="9" t="n"/>
      <c r="E79" s="9" t="n"/>
      <c r="F79" s="9" t="n"/>
      <c r="G79" s="9" t="n"/>
    </row>
    <row r="80">
      <c r="A80" s="10" t="n"/>
      <c r="B80" s="9" t="n"/>
      <c r="C80" s="9" t="n"/>
      <c r="D80" s="9" t="n"/>
      <c r="E80" s="9" t="n"/>
      <c r="F80" s="9" t="n"/>
      <c r="G80" s="9" t="n"/>
    </row>
    <row r="81">
      <c r="A81" s="10" t="n"/>
      <c r="B81" s="9" t="n"/>
      <c r="C81" s="9" t="n"/>
      <c r="D81" s="9" t="n"/>
      <c r="E81" s="9" t="n"/>
      <c r="F81" s="9" t="n"/>
      <c r="G81" s="9" t="n"/>
    </row>
    <row r="82">
      <c r="A82" s="10" t="n"/>
      <c r="B82" s="9" t="n"/>
      <c r="C82" s="9" t="n"/>
      <c r="D82" s="9" t="n"/>
      <c r="E82" s="9" t="n"/>
      <c r="F82" s="9" t="n"/>
      <c r="G82" s="9" t="n"/>
    </row>
    <row r="83">
      <c r="A83" s="10" t="n"/>
      <c r="B83" s="9" t="n"/>
      <c r="C83" s="9" t="n"/>
      <c r="D83" s="9" t="n"/>
      <c r="E83" s="9" t="n"/>
      <c r="F83" s="9" t="n"/>
      <c r="G83" s="9" t="n"/>
    </row>
    <row r="84">
      <c r="A84" s="10" t="n"/>
      <c r="B84" s="9" t="n"/>
      <c r="C84" s="9" t="n"/>
      <c r="D84" s="9" t="n"/>
      <c r="E84" s="9" t="n"/>
      <c r="F84" s="9" t="n"/>
      <c r="G84" s="9" t="n"/>
    </row>
    <row r="85">
      <c r="A85" s="10" t="n"/>
      <c r="B85" s="9" t="n"/>
      <c r="C85" s="9" t="n"/>
      <c r="D85" s="9" t="n"/>
      <c r="E85" s="9" t="n"/>
      <c r="F85" s="9" t="n"/>
      <c r="G85" s="9" t="n"/>
    </row>
    <row r="86">
      <c r="A86" s="10" t="n"/>
      <c r="B86" s="9" t="n"/>
      <c r="C86" s="9" t="n"/>
      <c r="D86" s="9" t="n"/>
      <c r="E86" s="9" t="n"/>
      <c r="F86" s="9" t="n"/>
      <c r="G86" s="9" t="n"/>
    </row>
    <row r="87">
      <c r="A87" s="10" t="n"/>
      <c r="B87" s="9" t="n"/>
      <c r="C87" s="9" t="n"/>
      <c r="D87" s="9" t="n"/>
      <c r="E87" s="9" t="n"/>
      <c r="F87" s="9" t="n"/>
      <c r="G87" s="9" t="n"/>
    </row>
    <row r="88">
      <c r="A88" s="10" t="n"/>
      <c r="B88" s="9" t="n"/>
      <c r="C88" s="9" t="n"/>
      <c r="D88" s="9" t="n"/>
      <c r="E88" s="9" t="n"/>
      <c r="F88" s="9" t="n"/>
      <c r="G88" s="9" t="n"/>
    </row>
    <row r="89">
      <c r="A89" s="10" t="n"/>
      <c r="B89" s="9" t="n"/>
      <c r="C89" s="9" t="n"/>
      <c r="D89" s="9" t="n"/>
      <c r="E89" s="9" t="n"/>
      <c r="F89" s="9" t="n"/>
      <c r="G89" s="9" t="n"/>
    </row>
    <row r="90">
      <c r="A90" s="10" t="n"/>
      <c r="B90" s="9" t="n"/>
      <c r="C90" s="9" t="n"/>
      <c r="D90" s="9" t="n"/>
      <c r="E90" s="9" t="n"/>
      <c r="F90" s="9" t="n"/>
      <c r="G90" s="9" t="n"/>
    </row>
    <row r="91">
      <c r="A91" s="10" t="n"/>
      <c r="B91" s="9" t="n"/>
      <c r="C91" s="9" t="n"/>
      <c r="D91" s="9" t="n"/>
      <c r="E91" s="9" t="n"/>
      <c r="F91" s="9" t="n"/>
      <c r="G91" s="9" t="n"/>
    </row>
    <row r="92">
      <c r="A92" s="10" t="n"/>
      <c r="B92" s="9" t="n"/>
      <c r="C92" s="9" t="n"/>
      <c r="D92" s="9" t="n"/>
      <c r="E92" s="9" t="n"/>
      <c r="F92" s="9" t="n"/>
      <c r="G92" s="9" t="n"/>
    </row>
    <row r="93">
      <c r="A93" s="10" t="n"/>
      <c r="B93" s="9" t="n"/>
      <c r="C93" s="9" t="n"/>
      <c r="D93" s="9" t="n"/>
      <c r="E93" s="9" t="n"/>
      <c r="F93" s="9" t="n"/>
      <c r="G93" s="9" t="n"/>
    </row>
    <row r="94">
      <c r="A94" s="10" t="n"/>
      <c r="B94" s="9" t="n"/>
      <c r="C94" s="9" t="n"/>
      <c r="D94" s="9" t="n"/>
      <c r="E94" s="9" t="n"/>
      <c r="F94" s="9" t="n"/>
      <c r="G94" s="9" t="n"/>
    </row>
    <row r="95">
      <c r="A95" s="10" t="n"/>
      <c r="B95" s="9" t="n"/>
      <c r="C95" s="9" t="n"/>
      <c r="D95" s="9" t="n"/>
      <c r="E95" s="9" t="n"/>
      <c r="F95" s="9" t="n"/>
      <c r="G95" s="9" t="n"/>
    </row>
    <row r="96">
      <c r="A96" s="10" t="n"/>
      <c r="B96" s="9" t="n"/>
      <c r="C96" s="9" t="n"/>
      <c r="D96" s="9" t="n"/>
      <c r="E96" s="9" t="n"/>
      <c r="F96" s="9" t="n"/>
      <c r="G96" s="9" t="n"/>
    </row>
    <row r="97">
      <c r="A97" s="10" t="n"/>
      <c r="B97" s="9" t="n"/>
      <c r="C97" s="9" t="n"/>
      <c r="D97" s="9" t="n"/>
      <c r="E97" s="9" t="n"/>
      <c r="F97" s="9" t="n"/>
      <c r="G97" s="9" t="n"/>
    </row>
    <row r="98">
      <c r="A98" s="10" t="n"/>
      <c r="B98" s="9" t="n"/>
      <c r="C98" s="9" t="n"/>
      <c r="D98" s="9" t="n"/>
      <c r="E98" s="9" t="n"/>
      <c r="F98" s="9" t="n"/>
      <c r="G98" s="9" t="n"/>
    </row>
    <row r="99">
      <c r="A99" s="10" t="n"/>
      <c r="B99" s="9" t="n"/>
      <c r="C99" s="9" t="n"/>
      <c r="D99" s="9" t="n"/>
      <c r="E99" s="9" t="n"/>
      <c r="F99" s="9" t="n"/>
      <c r="G99" s="9" t="n"/>
    </row>
    <row r="100">
      <c r="A100" s="10" t="n"/>
      <c r="B100" s="9" t="n"/>
      <c r="C100" s="9" t="n"/>
      <c r="D100" s="9" t="n"/>
      <c r="E100" s="9" t="n"/>
      <c r="F100" s="9" t="n"/>
      <c r="G100" s="9" t="n"/>
    </row>
    <row r="101">
      <c r="A101" s="10" t="n"/>
      <c r="B101" s="9" t="n"/>
      <c r="C101" s="9" t="n"/>
      <c r="D101" s="9" t="n"/>
      <c r="E101" s="9" t="n"/>
      <c r="F101" s="9" t="n"/>
      <c r="G101" s="9" t="n"/>
    </row>
    <row r="102">
      <c r="A102" s="10" t="n"/>
      <c r="B102" s="9" t="n"/>
      <c r="C102" s="9" t="n"/>
      <c r="D102" s="9" t="n"/>
      <c r="E102" s="9" t="n"/>
      <c r="F102" s="9" t="n"/>
      <c r="G102" s="9" t="n"/>
    </row>
    <row r="103">
      <c r="A103" s="10" t="n"/>
      <c r="B103" s="9" t="n"/>
      <c r="C103" s="9" t="n"/>
      <c r="D103" s="9" t="n"/>
      <c r="E103" s="9" t="n"/>
      <c r="F103" s="9" t="n"/>
      <c r="G103" s="9" t="n"/>
    </row>
    <row r="104">
      <c r="A104" s="10" t="n"/>
      <c r="B104" s="9" t="n"/>
      <c r="C104" s="9" t="n"/>
      <c r="D104" s="9" t="n"/>
      <c r="E104" s="9" t="n"/>
      <c r="F104" s="9" t="n"/>
      <c r="G104" s="9" t="n"/>
    </row>
    <row r="105">
      <c r="A105" s="10" t="n"/>
      <c r="B105" s="9" t="n"/>
      <c r="C105" s="9" t="n"/>
      <c r="D105" s="9" t="n"/>
      <c r="E105" s="9" t="n"/>
      <c r="F105" s="9" t="n"/>
      <c r="G105" s="9" t="n"/>
    </row>
    <row r="106">
      <c r="A106" s="10" t="n"/>
      <c r="B106" s="9" t="n"/>
      <c r="C106" s="9" t="n"/>
      <c r="D106" s="9" t="n"/>
      <c r="E106" s="9" t="n"/>
      <c r="F106" s="9" t="n"/>
      <c r="G106" s="9" t="n"/>
    </row>
    <row r="107">
      <c r="A107" s="10" t="n"/>
      <c r="B107" s="9" t="n"/>
      <c r="C107" s="9" t="n"/>
      <c r="D107" s="9" t="n"/>
      <c r="E107" s="9" t="n"/>
      <c r="F107" s="9" t="n"/>
      <c r="G107" s="9" t="n"/>
    </row>
    <row r="108">
      <c r="A108" s="10" t="n"/>
      <c r="B108" s="9" t="n"/>
      <c r="C108" s="9" t="n"/>
      <c r="D108" s="9" t="n"/>
      <c r="E108" s="9" t="n"/>
      <c r="F108" s="9" t="n"/>
      <c r="G108" s="9" t="n"/>
    </row>
    <row r="109">
      <c r="A109" s="10" t="n"/>
      <c r="B109" s="9" t="n"/>
      <c r="C109" s="9" t="n"/>
      <c r="D109" s="9" t="n"/>
      <c r="E109" s="9" t="n"/>
      <c r="F109" s="9" t="n"/>
      <c r="G109" s="9" t="n"/>
    </row>
    <row r="110">
      <c r="A110" s="10" t="n"/>
      <c r="B110" s="9" t="n"/>
      <c r="C110" s="9" t="n"/>
      <c r="D110" s="9" t="n"/>
      <c r="E110" s="9" t="n"/>
      <c r="F110" s="9" t="n"/>
      <c r="G110" s="9" t="n"/>
    </row>
    <row r="111">
      <c r="A111" s="10" t="n"/>
      <c r="B111" s="9" t="n"/>
      <c r="C111" s="9" t="n"/>
      <c r="D111" s="9" t="n"/>
      <c r="E111" s="9" t="n"/>
      <c r="F111" s="9" t="n"/>
      <c r="G111" s="9" t="n"/>
    </row>
    <row r="112">
      <c r="A112" s="10" t="n"/>
      <c r="B112" s="9" t="n"/>
      <c r="C112" s="9" t="n"/>
      <c r="D112" s="9" t="n"/>
      <c r="E112" s="9" t="n"/>
      <c r="F112" s="9" t="n"/>
      <c r="G112" s="9" t="n"/>
    </row>
    <row r="113">
      <c r="A113" s="10" t="n"/>
      <c r="B113" s="9" t="n"/>
      <c r="C113" s="9" t="n"/>
      <c r="D113" s="9" t="n"/>
      <c r="E113" s="9" t="n"/>
      <c r="F113" s="9" t="n"/>
      <c r="G113" s="9" t="n"/>
    </row>
    <row r="114">
      <c r="A114" s="10" t="n"/>
      <c r="B114" s="9" t="n"/>
      <c r="C114" s="9" t="n"/>
      <c r="D114" s="9" t="n"/>
      <c r="E114" s="9" t="n"/>
      <c r="F114" s="9" t="n"/>
      <c r="G114" s="9" t="n"/>
    </row>
    <row r="115">
      <c r="A115" s="10" t="n"/>
      <c r="B115" s="9" t="n"/>
      <c r="C115" s="9" t="n"/>
      <c r="D115" s="9" t="n"/>
      <c r="E115" s="9" t="n"/>
      <c r="F115" s="9" t="n"/>
      <c r="G115" s="9" t="n"/>
    </row>
    <row r="116">
      <c r="A116" s="10" t="n"/>
      <c r="B116" s="9" t="n"/>
      <c r="C116" s="9" t="n"/>
      <c r="D116" s="9" t="n"/>
      <c r="E116" s="9" t="n"/>
      <c r="F116" s="9" t="n"/>
      <c r="G116" s="9" t="n"/>
    </row>
    <row r="117">
      <c r="A117" s="10" t="n"/>
      <c r="B117" s="9" t="n"/>
      <c r="C117" s="9" t="n"/>
      <c r="D117" s="9" t="n"/>
      <c r="E117" s="9" t="n"/>
      <c r="F117" s="9" t="n"/>
      <c r="G117" s="9" t="n"/>
    </row>
    <row r="118">
      <c r="A118" s="10" t="n"/>
      <c r="B118" s="9" t="n"/>
      <c r="C118" s="9" t="n"/>
      <c r="D118" s="9" t="n"/>
      <c r="E118" s="9" t="n"/>
      <c r="F118" s="9" t="n"/>
      <c r="G118" s="9" t="n"/>
    </row>
    <row r="119">
      <c r="A119" s="10" t="n"/>
      <c r="B119" s="9" t="n"/>
      <c r="C119" s="9" t="n"/>
      <c r="D119" s="9" t="n"/>
      <c r="E119" s="9" t="n"/>
      <c r="F119" s="9" t="n"/>
      <c r="G119" s="9" t="n"/>
    </row>
    <row r="120">
      <c r="A120" s="10" t="n"/>
      <c r="B120" s="9" t="n"/>
      <c r="C120" s="9" t="n"/>
      <c r="D120" s="9" t="n"/>
      <c r="E120" s="9" t="n"/>
      <c r="F120" s="9" t="n"/>
      <c r="G120" s="9" t="n"/>
    </row>
    <row r="121">
      <c r="A121" s="10" t="n"/>
      <c r="B121" s="9" t="n"/>
      <c r="C121" s="9" t="n"/>
      <c r="D121" s="9" t="n"/>
      <c r="E121" s="9" t="n"/>
      <c r="F121" s="9" t="n"/>
      <c r="G121" s="9" t="n"/>
    </row>
    <row r="122">
      <c r="A122" s="10" t="n"/>
      <c r="B122" s="9" t="n"/>
      <c r="C122" s="9" t="n"/>
      <c r="D122" s="9" t="n"/>
      <c r="E122" s="9" t="n"/>
      <c r="F122" s="9" t="n"/>
      <c r="G122" s="9" t="n"/>
    </row>
    <row r="123">
      <c r="A123" s="10" t="n"/>
      <c r="B123" s="9" t="n"/>
      <c r="C123" s="9" t="n"/>
      <c r="D123" s="9" t="n"/>
      <c r="E123" s="9" t="n"/>
      <c r="F123" s="9" t="n"/>
      <c r="G123" s="9" t="n"/>
    </row>
    <row r="124">
      <c r="A124" s="10" t="n"/>
      <c r="B124" s="9" t="n"/>
      <c r="C124" s="9" t="n"/>
      <c r="D124" s="9" t="n"/>
      <c r="E124" s="9" t="n"/>
      <c r="F124" s="9" t="n"/>
      <c r="G124" s="9" t="n"/>
    </row>
  </sheetData>
  <dataValidations count="2">
    <dataValidation sqref="C5:C124" showDropDown="0" showInputMessage="0" showErrorMessage="0" allowBlank="1" type="list">
      <formula1>"X,Twitch,YouTube,TikTok,Instagram,Discord,Website"</formula1>
    </dataValidation>
    <dataValidation sqref="G5:G124" showDropDown="0" showInputMessage="0" showErrorMessage="0" allowBlank="1" type="list">
      <formula1>"Idee,In Arbeit,Freigabe,Geplant,Veröffentlicht"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E96A3"/>
    <outlinePr summaryBelow="1" summaryRight="1"/>
    <pageSetUpPr/>
  </sheetPr>
  <dimension ref="A1:H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6" t="inlineStr">
        <is>
          <t>VALIOUX · Reise- &amp; Bootcamp-Kosten</t>
        </is>
      </c>
    </row>
    <row r="2">
      <c r="A2" s="5" t="inlineStr">
        <is>
          <t>Gelb = Eingabe · Grau = Formel (nicht überschreiben)</t>
        </is>
      </c>
    </row>
    <row r="4" ht="32" customHeight="1">
      <c r="A4" s="7" t="inlineStr">
        <is>
          <t>Datum</t>
        </is>
      </c>
      <c r="B4" s="7" t="inlineStr">
        <is>
          <t>Event / Ziel</t>
        </is>
      </c>
      <c r="C4" s="7" t="inlineStr">
        <is>
          <t>Person</t>
        </is>
      </c>
      <c r="D4" s="7" t="inlineStr">
        <is>
          <t>Reise €</t>
        </is>
      </c>
      <c r="E4" s="7" t="inlineStr">
        <is>
          <t>Hotel €</t>
        </is>
      </c>
      <c r="F4" s="7" t="inlineStr">
        <is>
          <t>Verpflegung €</t>
        </is>
      </c>
      <c r="G4" s="7" t="inlineStr">
        <is>
          <t>Sonstiges €</t>
        </is>
      </c>
      <c r="H4" s="7" t="inlineStr">
        <is>
          <t>Summe €</t>
        </is>
      </c>
    </row>
    <row r="5">
      <c r="A5" s="10" t="n"/>
      <c r="B5" s="9" t="n"/>
      <c r="C5" s="9" t="n"/>
      <c r="D5" s="11" t="n"/>
      <c r="E5" s="11" t="n"/>
      <c r="F5" s="11" t="n"/>
      <c r="G5" s="11" t="n"/>
      <c r="H5" s="13">
        <f>IF(COUNT(D5:G5)=0,"",SUM(D5:G5))</f>
        <v/>
      </c>
    </row>
    <row r="6">
      <c r="A6" s="10" t="n"/>
      <c r="B6" s="9" t="n"/>
      <c r="C6" s="9" t="n"/>
      <c r="D6" s="11" t="n"/>
      <c r="E6" s="11" t="n"/>
      <c r="F6" s="11" t="n"/>
      <c r="G6" s="11" t="n"/>
      <c r="H6" s="13">
        <f>IF(COUNT(D6:G6)=0,"",SUM(D6:G6))</f>
        <v/>
      </c>
    </row>
    <row r="7">
      <c r="A7" s="10" t="n"/>
      <c r="B7" s="9" t="n"/>
      <c r="C7" s="9" t="n"/>
      <c r="D7" s="11" t="n"/>
      <c r="E7" s="11" t="n"/>
      <c r="F7" s="11" t="n"/>
      <c r="G7" s="11" t="n"/>
      <c r="H7" s="13">
        <f>IF(COUNT(D7:G7)=0,"",SUM(D7:G7))</f>
        <v/>
      </c>
    </row>
    <row r="8">
      <c r="A8" s="10" t="n"/>
      <c r="B8" s="9" t="n"/>
      <c r="C8" s="9" t="n"/>
      <c r="D8" s="11" t="n"/>
      <c r="E8" s="11" t="n"/>
      <c r="F8" s="11" t="n"/>
      <c r="G8" s="11" t="n"/>
      <c r="H8" s="13">
        <f>IF(COUNT(D8:G8)=0,"",SUM(D8:G8))</f>
        <v/>
      </c>
    </row>
    <row r="9">
      <c r="A9" s="10" t="n"/>
      <c r="B9" s="9" t="n"/>
      <c r="C9" s="9" t="n"/>
      <c r="D9" s="11" t="n"/>
      <c r="E9" s="11" t="n"/>
      <c r="F9" s="11" t="n"/>
      <c r="G9" s="11" t="n"/>
      <c r="H9" s="13">
        <f>IF(COUNT(D9:G9)=0,"",SUM(D9:G9))</f>
        <v/>
      </c>
    </row>
    <row r="10">
      <c r="A10" s="10" t="n"/>
      <c r="B10" s="9" t="n"/>
      <c r="C10" s="9" t="n"/>
      <c r="D10" s="11" t="n"/>
      <c r="E10" s="11" t="n"/>
      <c r="F10" s="11" t="n"/>
      <c r="G10" s="11" t="n"/>
      <c r="H10" s="13">
        <f>IF(COUNT(D10:G10)=0,"",SUM(D10:G10))</f>
        <v/>
      </c>
    </row>
    <row r="11">
      <c r="A11" s="10" t="n"/>
      <c r="B11" s="9" t="n"/>
      <c r="C11" s="9" t="n"/>
      <c r="D11" s="11" t="n"/>
      <c r="E11" s="11" t="n"/>
      <c r="F11" s="11" t="n"/>
      <c r="G11" s="11" t="n"/>
      <c r="H11" s="13">
        <f>IF(COUNT(D11:G11)=0,"",SUM(D11:G11))</f>
        <v/>
      </c>
    </row>
    <row r="12">
      <c r="A12" s="10" t="n"/>
      <c r="B12" s="9" t="n"/>
      <c r="C12" s="9" t="n"/>
      <c r="D12" s="11" t="n"/>
      <c r="E12" s="11" t="n"/>
      <c r="F12" s="11" t="n"/>
      <c r="G12" s="11" t="n"/>
      <c r="H12" s="13">
        <f>IF(COUNT(D12:G12)=0,"",SUM(D12:G12))</f>
        <v/>
      </c>
    </row>
    <row r="13">
      <c r="A13" s="10" t="n"/>
      <c r="B13" s="9" t="n"/>
      <c r="C13" s="9" t="n"/>
      <c r="D13" s="11" t="n"/>
      <c r="E13" s="11" t="n"/>
      <c r="F13" s="11" t="n"/>
      <c r="G13" s="11" t="n"/>
      <c r="H13" s="13">
        <f>IF(COUNT(D13:G13)=0,"",SUM(D13:G13))</f>
        <v/>
      </c>
    </row>
    <row r="14">
      <c r="A14" s="10" t="n"/>
      <c r="B14" s="9" t="n"/>
      <c r="C14" s="9" t="n"/>
      <c r="D14" s="11" t="n"/>
      <c r="E14" s="11" t="n"/>
      <c r="F14" s="11" t="n"/>
      <c r="G14" s="11" t="n"/>
      <c r="H14" s="13">
        <f>IF(COUNT(D14:G14)=0,"",SUM(D14:G14))</f>
        <v/>
      </c>
    </row>
    <row r="15">
      <c r="A15" s="10" t="n"/>
      <c r="B15" s="9" t="n"/>
      <c r="C15" s="9" t="n"/>
      <c r="D15" s="11" t="n"/>
      <c r="E15" s="11" t="n"/>
      <c r="F15" s="11" t="n"/>
      <c r="G15" s="11" t="n"/>
      <c r="H15" s="13">
        <f>IF(COUNT(D15:G15)=0,"",SUM(D15:G15))</f>
        <v/>
      </c>
    </row>
    <row r="16">
      <c r="A16" s="10" t="n"/>
      <c r="B16" s="9" t="n"/>
      <c r="C16" s="9" t="n"/>
      <c r="D16" s="11" t="n"/>
      <c r="E16" s="11" t="n"/>
      <c r="F16" s="11" t="n"/>
      <c r="G16" s="11" t="n"/>
      <c r="H16" s="13">
        <f>IF(COUNT(D16:G16)=0,"",SUM(D16:G16))</f>
        <v/>
      </c>
    </row>
    <row r="17">
      <c r="A17" s="10" t="n"/>
      <c r="B17" s="9" t="n"/>
      <c r="C17" s="9" t="n"/>
      <c r="D17" s="11" t="n"/>
      <c r="E17" s="11" t="n"/>
      <c r="F17" s="11" t="n"/>
      <c r="G17" s="11" t="n"/>
      <c r="H17" s="13">
        <f>IF(COUNT(D17:G17)=0,"",SUM(D17:G17))</f>
        <v/>
      </c>
    </row>
    <row r="18">
      <c r="A18" s="10" t="n"/>
      <c r="B18" s="9" t="n"/>
      <c r="C18" s="9" t="n"/>
      <c r="D18" s="11" t="n"/>
      <c r="E18" s="11" t="n"/>
      <c r="F18" s="11" t="n"/>
      <c r="G18" s="11" t="n"/>
      <c r="H18" s="13">
        <f>IF(COUNT(D18:G18)=0,"",SUM(D18:G18))</f>
        <v/>
      </c>
    </row>
    <row r="19">
      <c r="A19" s="10" t="n"/>
      <c r="B19" s="9" t="n"/>
      <c r="C19" s="9" t="n"/>
      <c r="D19" s="11" t="n"/>
      <c r="E19" s="11" t="n"/>
      <c r="F19" s="11" t="n"/>
      <c r="G19" s="11" t="n"/>
      <c r="H19" s="13">
        <f>IF(COUNT(D19:G19)=0,"",SUM(D19:G19))</f>
        <v/>
      </c>
    </row>
    <row r="20">
      <c r="A20" s="10" t="n"/>
      <c r="B20" s="9" t="n"/>
      <c r="C20" s="9" t="n"/>
      <c r="D20" s="11" t="n"/>
      <c r="E20" s="11" t="n"/>
      <c r="F20" s="11" t="n"/>
      <c r="G20" s="11" t="n"/>
      <c r="H20" s="13">
        <f>IF(COUNT(D20:G20)=0,"",SUM(D20:G20))</f>
        <v/>
      </c>
    </row>
    <row r="21">
      <c r="A21" s="10" t="n"/>
      <c r="B21" s="9" t="n"/>
      <c r="C21" s="9" t="n"/>
      <c r="D21" s="11" t="n"/>
      <c r="E21" s="11" t="n"/>
      <c r="F21" s="11" t="n"/>
      <c r="G21" s="11" t="n"/>
      <c r="H21" s="13">
        <f>IF(COUNT(D21:G21)=0,"",SUM(D21:G21))</f>
        <v/>
      </c>
    </row>
    <row r="22">
      <c r="A22" s="10" t="n"/>
      <c r="B22" s="9" t="n"/>
      <c r="C22" s="9" t="n"/>
      <c r="D22" s="11" t="n"/>
      <c r="E22" s="11" t="n"/>
      <c r="F22" s="11" t="n"/>
      <c r="G22" s="11" t="n"/>
      <c r="H22" s="13">
        <f>IF(COUNT(D22:G22)=0,"",SUM(D22:G22))</f>
        <v/>
      </c>
    </row>
    <row r="23">
      <c r="A23" s="10" t="n"/>
      <c r="B23" s="9" t="n"/>
      <c r="C23" s="9" t="n"/>
      <c r="D23" s="11" t="n"/>
      <c r="E23" s="11" t="n"/>
      <c r="F23" s="11" t="n"/>
      <c r="G23" s="11" t="n"/>
      <c r="H23" s="13">
        <f>IF(COUNT(D23:G23)=0,"",SUM(D23:G23))</f>
        <v/>
      </c>
    </row>
    <row r="24">
      <c r="A24" s="10" t="n"/>
      <c r="B24" s="9" t="n"/>
      <c r="C24" s="9" t="n"/>
      <c r="D24" s="11" t="n"/>
      <c r="E24" s="11" t="n"/>
      <c r="F24" s="11" t="n"/>
      <c r="G24" s="11" t="n"/>
      <c r="H24" s="13">
        <f>IF(COUNT(D24:G24)=0,"",SUM(D24:G24))</f>
        <v/>
      </c>
    </row>
    <row r="25">
      <c r="A25" s="10" t="n"/>
      <c r="B25" s="9" t="n"/>
      <c r="C25" s="9" t="n"/>
      <c r="D25" s="11" t="n"/>
      <c r="E25" s="11" t="n"/>
      <c r="F25" s="11" t="n"/>
      <c r="G25" s="11" t="n"/>
      <c r="H25" s="13">
        <f>IF(COUNT(D25:G25)=0,"",SUM(D25:G25))</f>
        <v/>
      </c>
    </row>
    <row r="26">
      <c r="A26" s="10" t="n"/>
      <c r="B26" s="9" t="n"/>
      <c r="C26" s="9" t="n"/>
      <c r="D26" s="11" t="n"/>
      <c r="E26" s="11" t="n"/>
      <c r="F26" s="11" t="n"/>
      <c r="G26" s="11" t="n"/>
      <c r="H26" s="13">
        <f>IF(COUNT(D26:G26)=0,"",SUM(D26:G26))</f>
        <v/>
      </c>
    </row>
    <row r="27">
      <c r="A27" s="10" t="n"/>
      <c r="B27" s="9" t="n"/>
      <c r="C27" s="9" t="n"/>
      <c r="D27" s="11" t="n"/>
      <c r="E27" s="11" t="n"/>
      <c r="F27" s="11" t="n"/>
      <c r="G27" s="11" t="n"/>
      <c r="H27" s="13">
        <f>IF(COUNT(D27:G27)=0,"",SUM(D27:G27))</f>
        <v/>
      </c>
    </row>
    <row r="28">
      <c r="A28" s="10" t="n"/>
      <c r="B28" s="9" t="n"/>
      <c r="C28" s="9" t="n"/>
      <c r="D28" s="11" t="n"/>
      <c r="E28" s="11" t="n"/>
      <c r="F28" s="11" t="n"/>
      <c r="G28" s="11" t="n"/>
      <c r="H28" s="13">
        <f>IF(COUNT(D28:G28)=0,"",SUM(D28:G28))</f>
        <v/>
      </c>
    </row>
    <row r="29">
      <c r="A29" s="10" t="n"/>
      <c r="B29" s="9" t="n"/>
      <c r="C29" s="9" t="n"/>
      <c r="D29" s="11" t="n"/>
      <c r="E29" s="11" t="n"/>
      <c r="F29" s="11" t="n"/>
      <c r="G29" s="11" t="n"/>
      <c r="H29" s="13">
        <f>IF(COUNT(D29:G29)=0,"",SUM(D29:G29))</f>
        <v/>
      </c>
    </row>
    <row r="30">
      <c r="A30" s="10" t="n"/>
      <c r="B30" s="9" t="n"/>
      <c r="C30" s="9" t="n"/>
      <c r="D30" s="11" t="n"/>
      <c r="E30" s="11" t="n"/>
      <c r="F30" s="11" t="n"/>
      <c r="G30" s="11" t="n"/>
      <c r="H30" s="13">
        <f>IF(COUNT(D30:G30)=0,"",SUM(D30:G30))</f>
        <v/>
      </c>
    </row>
    <row r="31">
      <c r="A31" s="10" t="n"/>
      <c r="B31" s="9" t="n"/>
      <c r="C31" s="9" t="n"/>
      <c r="D31" s="11" t="n"/>
      <c r="E31" s="11" t="n"/>
      <c r="F31" s="11" t="n"/>
      <c r="G31" s="11" t="n"/>
      <c r="H31" s="13">
        <f>IF(COUNT(D31:G31)=0,"",SUM(D31:G31))</f>
        <v/>
      </c>
    </row>
    <row r="32">
      <c r="A32" s="10" t="n"/>
      <c r="B32" s="9" t="n"/>
      <c r="C32" s="9" t="n"/>
      <c r="D32" s="11" t="n"/>
      <c r="E32" s="11" t="n"/>
      <c r="F32" s="11" t="n"/>
      <c r="G32" s="11" t="n"/>
      <c r="H32" s="13">
        <f>IF(COUNT(D32:G32)=0,"",SUM(D32:G32))</f>
        <v/>
      </c>
    </row>
    <row r="33">
      <c r="A33" s="10" t="n"/>
      <c r="B33" s="9" t="n"/>
      <c r="C33" s="9" t="n"/>
      <c r="D33" s="11" t="n"/>
      <c r="E33" s="11" t="n"/>
      <c r="F33" s="11" t="n"/>
      <c r="G33" s="11" t="n"/>
      <c r="H33" s="13">
        <f>IF(COUNT(D33:G33)=0,"",SUM(D33:G33))</f>
        <v/>
      </c>
    </row>
    <row r="34">
      <c r="A34" s="10" t="n"/>
      <c r="B34" s="9" t="n"/>
      <c r="C34" s="9" t="n"/>
      <c r="D34" s="11" t="n"/>
      <c r="E34" s="11" t="n"/>
      <c r="F34" s="11" t="n"/>
      <c r="G34" s="11" t="n"/>
      <c r="H34" s="13">
        <f>IF(COUNT(D34:G34)=0,"",SUM(D34:G34))</f>
        <v/>
      </c>
    </row>
    <row r="35">
      <c r="A35" s="10" t="n"/>
      <c r="B35" s="9" t="n"/>
      <c r="C35" s="9" t="n"/>
      <c r="D35" s="11" t="n"/>
      <c r="E35" s="11" t="n"/>
      <c r="F35" s="11" t="n"/>
      <c r="G35" s="11" t="n"/>
      <c r="H35" s="13">
        <f>IF(COUNT(D35:G35)=0,"",SUM(D35:G35))</f>
        <v/>
      </c>
    </row>
    <row r="36">
      <c r="A36" s="10" t="n"/>
      <c r="B36" s="9" t="n"/>
      <c r="C36" s="9" t="n"/>
      <c r="D36" s="11" t="n"/>
      <c r="E36" s="11" t="n"/>
      <c r="F36" s="11" t="n"/>
      <c r="G36" s="11" t="n"/>
      <c r="H36" s="13">
        <f>IF(COUNT(D36:G36)=0,"",SUM(D36:G36))</f>
        <v/>
      </c>
    </row>
    <row r="37">
      <c r="A37" s="10" t="n"/>
      <c r="B37" s="9" t="n"/>
      <c r="C37" s="9" t="n"/>
      <c r="D37" s="11" t="n"/>
      <c r="E37" s="11" t="n"/>
      <c r="F37" s="11" t="n"/>
      <c r="G37" s="11" t="n"/>
      <c r="H37" s="13">
        <f>IF(COUNT(D37:G37)=0,"",SUM(D37:G37))</f>
        <v/>
      </c>
    </row>
    <row r="38">
      <c r="A38" s="10" t="n"/>
      <c r="B38" s="9" t="n"/>
      <c r="C38" s="9" t="n"/>
      <c r="D38" s="11" t="n"/>
      <c r="E38" s="11" t="n"/>
      <c r="F38" s="11" t="n"/>
      <c r="G38" s="11" t="n"/>
      <c r="H38" s="13">
        <f>IF(COUNT(D38:G38)=0,"",SUM(D38:G38))</f>
        <v/>
      </c>
    </row>
    <row r="39">
      <c r="A39" s="10" t="n"/>
      <c r="B39" s="9" t="n"/>
      <c r="C39" s="9" t="n"/>
      <c r="D39" s="11" t="n"/>
      <c r="E39" s="11" t="n"/>
      <c r="F39" s="11" t="n"/>
      <c r="G39" s="11" t="n"/>
      <c r="H39" s="13">
        <f>IF(COUNT(D39:G39)=0,"",SUM(D39:G39))</f>
        <v/>
      </c>
    </row>
    <row r="40">
      <c r="A40" s="10" t="n"/>
      <c r="B40" s="9" t="n"/>
      <c r="C40" s="9" t="n"/>
      <c r="D40" s="11" t="n"/>
      <c r="E40" s="11" t="n"/>
      <c r="F40" s="11" t="n"/>
      <c r="G40" s="11" t="n"/>
      <c r="H40" s="13">
        <f>IF(COUNT(D40:G40)=0,"",SUM(D40:G40))</f>
        <v/>
      </c>
    </row>
    <row r="41">
      <c r="A41" s="10" t="n"/>
      <c r="B41" s="9" t="n"/>
      <c r="C41" s="9" t="n"/>
      <c r="D41" s="11" t="n"/>
      <c r="E41" s="11" t="n"/>
      <c r="F41" s="11" t="n"/>
      <c r="G41" s="11" t="n"/>
      <c r="H41" s="13">
        <f>IF(COUNT(D41:G41)=0,"",SUM(D41:G41))</f>
        <v/>
      </c>
    </row>
    <row r="42">
      <c r="A42" s="10" t="n"/>
      <c r="B42" s="9" t="n"/>
      <c r="C42" s="9" t="n"/>
      <c r="D42" s="11" t="n"/>
      <c r="E42" s="11" t="n"/>
      <c r="F42" s="11" t="n"/>
      <c r="G42" s="11" t="n"/>
      <c r="H42" s="13">
        <f>IF(COUNT(D42:G42)=0,"",SUM(D42:G42))</f>
        <v/>
      </c>
    </row>
    <row r="43">
      <c r="A43" s="10" t="n"/>
      <c r="B43" s="9" t="n"/>
      <c r="C43" s="9" t="n"/>
      <c r="D43" s="11" t="n"/>
      <c r="E43" s="11" t="n"/>
      <c r="F43" s="11" t="n"/>
      <c r="G43" s="11" t="n"/>
      <c r="H43" s="13">
        <f>IF(COUNT(D43:G43)=0,"",SUM(D43:G43))</f>
        <v/>
      </c>
    </row>
    <row r="44">
      <c r="A44" s="10" t="n"/>
      <c r="B44" s="9" t="n"/>
      <c r="C44" s="9" t="n"/>
      <c r="D44" s="11" t="n"/>
      <c r="E44" s="11" t="n"/>
      <c r="F44" s="11" t="n"/>
      <c r="G44" s="11" t="n"/>
      <c r="H44" s="13">
        <f>IF(COUNT(D44:G44)=0,"",SUM(D44:G44))</f>
        <v/>
      </c>
    </row>
    <row r="45">
      <c r="A45" s="10" t="n"/>
      <c r="B45" s="9" t="n"/>
      <c r="C45" s="9" t="n"/>
      <c r="D45" s="11" t="n"/>
      <c r="E45" s="11" t="n"/>
      <c r="F45" s="11" t="n"/>
      <c r="G45" s="11" t="n"/>
      <c r="H45" s="13">
        <f>IF(COUNT(D45:G45)=0,"",SUM(D45:G45))</f>
        <v/>
      </c>
    </row>
    <row r="46">
      <c r="A46" s="10" t="n"/>
      <c r="B46" s="9" t="n"/>
      <c r="C46" s="9" t="n"/>
      <c r="D46" s="11" t="n"/>
      <c r="E46" s="11" t="n"/>
      <c r="F46" s="11" t="n"/>
      <c r="G46" s="11" t="n"/>
      <c r="H46" s="13">
        <f>IF(COUNT(D46:G46)=0,"",SUM(D46:G46))</f>
        <v/>
      </c>
    </row>
    <row r="47">
      <c r="A47" s="10" t="n"/>
      <c r="B47" s="9" t="n"/>
      <c r="C47" s="9" t="n"/>
      <c r="D47" s="11" t="n"/>
      <c r="E47" s="11" t="n"/>
      <c r="F47" s="11" t="n"/>
      <c r="G47" s="11" t="n"/>
      <c r="H47" s="13">
        <f>IF(COUNT(D47:G47)=0,"",SUM(D47:G47))</f>
        <v/>
      </c>
    </row>
    <row r="48">
      <c r="A48" s="10" t="n"/>
      <c r="B48" s="9" t="n"/>
      <c r="C48" s="9" t="n"/>
      <c r="D48" s="11" t="n"/>
      <c r="E48" s="11" t="n"/>
      <c r="F48" s="11" t="n"/>
      <c r="G48" s="11" t="n"/>
      <c r="H48" s="13">
        <f>IF(COUNT(D48:G48)=0,"",SUM(D48:G48))</f>
        <v/>
      </c>
    </row>
    <row r="49">
      <c r="A49" s="10" t="n"/>
      <c r="B49" s="9" t="n"/>
      <c r="C49" s="9" t="n"/>
      <c r="D49" s="11" t="n"/>
      <c r="E49" s="11" t="n"/>
      <c r="F49" s="11" t="n"/>
      <c r="G49" s="11" t="n"/>
      <c r="H49" s="13">
        <f>IF(COUNT(D49:G49)=0,"",SUM(D49:G49))</f>
        <v/>
      </c>
    </row>
    <row r="50">
      <c r="A50" s="10" t="n"/>
      <c r="B50" s="9" t="n"/>
      <c r="C50" s="9" t="n"/>
      <c r="D50" s="11" t="n"/>
      <c r="E50" s="11" t="n"/>
      <c r="F50" s="11" t="n"/>
      <c r="G50" s="11" t="n"/>
      <c r="H50" s="13">
        <f>IF(COUNT(D50:G50)=0,"",SUM(D50:G50))</f>
        <v/>
      </c>
    </row>
    <row r="51">
      <c r="A51" s="10" t="n"/>
      <c r="B51" s="9" t="n"/>
      <c r="C51" s="9" t="n"/>
      <c r="D51" s="11" t="n"/>
      <c r="E51" s="11" t="n"/>
      <c r="F51" s="11" t="n"/>
      <c r="G51" s="11" t="n"/>
      <c r="H51" s="13">
        <f>IF(COUNT(D51:G51)=0,"",SUM(D51:G51))</f>
        <v/>
      </c>
    </row>
    <row r="52">
      <c r="A52" s="10" t="n"/>
      <c r="B52" s="9" t="n"/>
      <c r="C52" s="9" t="n"/>
      <c r="D52" s="11" t="n"/>
      <c r="E52" s="11" t="n"/>
      <c r="F52" s="11" t="n"/>
      <c r="G52" s="11" t="n"/>
      <c r="H52" s="13">
        <f>IF(COUNT(D52:G52)=0,"",SUM(D52:G52))</f>
        <v/>
      </c>
    </row>
    <row r="53">
      <c r="A53" s="10" t="n"/>
      <c r="B53" s="9" t="n"/>
      <c r="C53" s="9" t="n"/>
      <c r="D53" s="11" t="n"/>
      <c r="E53" s="11" t="n"/>
      <c r="F53" s="11" t="n"/>
      <c r="G53" s="11" t="n"/>
      <c r="H53" s="13">
        <f>IF(COUNT(D53:G53)=0,"",SUM(D53:G53))</f>
        <v/>
      </c>
    </row>
    <row r="54">
      <c r="A54" s="10" t="n"/>
      <c r="B54" s="9" t="n"/>
      <c r="C54" s="9" t="n"/>
      <c r="D54" s="11" t="n"/>
      <c r="E54" s="11" t="n"/>
      <c r="F54" s="11" t="n"/>
      <c r="G54" s="11" t="n"/>
      <c r="H54" s="13">
        <f>IF(COUNT(D54:G54)=0,"",SUM(D54:G54))</f>
        <v/>
      </c>
    </row>
    <row r="56">
      <c r="G56" t="inlineStr">
        <is>
          <t>Gesamt</t>
        </is>
      </c>
      <c r="H56" s="15">
        <f>SUM(H5:H54)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2026-10-07T19:53:55Z</dcterms:created>
  <dcterms:modified xmlns:dcterms="http://purl.org/dc/terms/" xmlns:xsi="http://www.w3.org/2001/XMLSchema-instance" xsi:type="dcterms:W3CDTF">2026-10-07T19:53:55Z</dcterms:modified>
</cp:coreProperties>
</file>